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kousahil\Downloads\"/>
    </mc:Choice>
  </mc:AlternateContent>
  <xr:revisionPtr revIDLastSave="0" documentId="13_ncr:1_{9E5948C9-03A9-4123-A04E-A7F4886DD292}" xr6:coauthVersionLast="47" xr6:coauthVersionMax="47" xr10:uidLastSave="{00000000-0000-0000-0000-000000000000}"/>
  <bookViews>
    <workbookView xWindow="-120" yWindow="-120" windowWidth="29040" windowHeight="15840" firstSheet="6" activeTab="9" xr2:uid="{00000000-000D-0000-FFFF-FFFF00000000}"/>
  </bookViews>
  <sheets>
    <sheet name="Raw_post" sheetId="14" r:id="rId1"/>
    <sheet name="Engagement Summary " sheetId="5" r:id="rId2"/>
    <sheet name="Campaign Metadata " sheetId="6" r:id="rId3"/>
    <sheet name="Task1" sheetId="4" r:id="rId4"/>
    <sheet name="Task2" sheetId="8" r:id="rId5"/>
    <sheet name="Task3_Platform_Analysis" sheetId="9" r:id="rId6"/>
    <sheet name="Task4_Content_Hashtag_analysis" sheetId="11" r:id="rId7"/>
    <sheet name="Task5_Campaign_Analysis" sheetId="12" r:id="rId8"/>
    <sheet name="Task6_ Follower_Retention_Loyal" sheetId="13" r:id="rId9"/>
    <sheet name="Video explanation link" sheetId="15" r:id="rId10"/>
  </sheets>
  <definedNames>
    <definedName name="ExternalData_1" localSheetId="3" hidden="1">Task1!$A$1:$M$301</definedName>
    <definedName name="ExternalData_2" localSheetId="1" hidden="1">'Engagement Summary '!$A$1:$G$201</definedName>
    <definedName name="ExternalData_3" localSheetId="2" hidden="1">'Campaign Metadata '!$A$1:$G$1000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8" i="4" l="1"/>
  <c r="N171" i="4"/>
  <c r="N132" i="4"/>
  <c r="N300" i="4"/>
  <c r="N22" i="4"/>
  <c r="N31" i="4"/>
  <c r="N95" i="4"/>
  <c r="N184" i="4"/>
  <c r="N256" i="4"/>
  <c r="N158" i="4"/>
  <c r="N198" i="4"/>
  <c r="N254" i="4"/>
  <c r="N6" i="4"/>
  <c r="N281" i="4"/>
  <c r="N237" i="4"/>
  <c r="N265" i="4"/>
  <c r="N205" i="4"/>
  <c r="N208" i="4"/>
  <c r="N131" i="4"/>
  <c r="N245" i="4"/>
  <c r="N26" i="4"/>
  <c r="N258" i="4"/>
  <c r="N59" i="4"/>
  <c r="N105" i="4"/>
  <c r="N181" i="4"/>
  <c r="N166" i="4"/>
  <c r="N124" i="4"/>
  <c r="N241" i="4"/>
  <c r="N176" i="4"/>
  <c r="N253" i="4"/>
  <c r="N257" i="4"/>
  <c r="N239" i="4"/>
  <c r="N139" i="4"/>
  <c r="N177" i="4"/>
  <c r="N165" i="4"/>
  <c r="N108" i="4"/>
  <c r="N218" i="4"/>
  <c r="N272" i="4"/>
  <c r="N89" i="4"/>
  <c r="N75" i="4"/>
  <c r="N297" i="4"/>
  <c r="N44" i="4"/>
  <c r="N284" i="4"/>
  <c r="N62" i="4"/>
  <c r="N217" i="4"/>
  <c r="N39" i="4"/>
  <c r="N54" i="4"/>
  <c r="N236" i="4"/>
  <c r="N244" i="4"/>
  <c r="N73" i="4"/>
  <c r="N30" i="4"/>
  <c r="N141" i="4"/>
  <c r="N100" i="4"/>
  <c r="N225" i="4"/>
  <c r="N179" i="4"/>
  <c r="N168" i="4"/>
  <c r="N173" i="4"/>
  <c r="N266" i="4"/>
  <c r="N194" i="4"/>
  <c r="N91" i="4"/>
  <c r="N34" i="4"/>
  <c r="N70" i="4"/>
  <c r="N117" i="4"/>
  <c r="N178" i="4"/>
  <c r="N263" i="4"/>
  <c r="N113" i="4"/>
  <c r="N85" i="4"/>
  <c r="N50" i="4"/>
  <c r="N247" i="4"/>
  <c r="N273" i="4"/>
  <c r="N128" i="4"/>
  <c r="N93" i="4"/>
  <c r="N67" i="4"/>
  <c r="N43" i="4"/>
  <c r="N71" i="4"/>
  <c r="N28" i="4"/>
  <c r="N76" i="4"/>
  <c r="N298" i="4"/>
  <c r="N280" i="4"/>
  <c r="N23" i="4"/>
  <c r="N235" i="4"/>
  <c r="N2" i="4"/>
  <c r="N19" i="4"/>
  <c r="N99" i="4"/>
  <c r="N231" i="4"/>
  <c r="N172" i="4"/>
  <c r="N243" i="4"/>
  <c r="N88" i="4"/>
  <c r="N210" i="4"/>
  <c r="N270" i="4"/>
  <c r="N61" i="4"/>
  <c r="N129" i="4"/>
  <c r="N47" i="4"/>
  <c r="N252" i="4"/>
  <c r="N120" i="4"/>
  <c r="N242" i="4"/>
  <c r="N53" i="4"/>
  <c r="N122" i="4"/>
  <c r="N223" i="4"/>
  <c r="N96" i="4"/>
  <c r="N196" i="4"/>
  <c r="N246" i="4"/>
  <c r="N159" i="4"/>
  <c r="N80" i="4"/>
  <c r="N36" i="4"/>
  <c r="N12" i="4"/>
  <c r="N116" i="4"/>
  <c r="N78" i="4"/>
  <c r="N111" i="4"/>
  <c r="N289" i="4"/>
  <c r="N222" i="4"/>
  <c r="N201" i="4"/>
  <c r="N250" i="4"/>
  <c r="N162" i="4"/>
  <c r="N213" i="4"/>
  <c r="N200" i="4"/>
  <c r="N186" i="4"/>
  <c r="N160" i="4"/>
  <c r="N37" i="4"/>
  <c r="N248" i="4"/>
  <c r="N4" i="4"/>
  <c r="N155" i="4"/>
  <c r="N7" i="4"/>
  <c r="N195" i="4"/>
  <c r="N60" i="4"/>
  <c r="N51" i="4"/>
  <c r="N5" i="4"/>
  <c r="N125" i="4"/>
  <c r="N52" i="4"/>
  <c r="N264" i="4"/>
  <c r="N107" i="4"/>
  <c r="N74" i="4"/>
  <c r="N240" i="4"/>
  <c r="N271" i="4"/>
  <c r="N103" i="4"/>
  <c r="N21" i="4"/>
  <c r="N175" i="4"/>
  <c r="N101" i="4"/>
  <c r="N58" i="4"/>
  <c r="N18" i="4"/>
  <c r="N283" i="4"/>
  <c r="N274" i="4"/>
  <c r="N121" i="4"/>
  <c r="N109" i="4"/>
  <c r="N267" i="4"/>
  <c r="N133" i="4"/>
  <c r="N92" i="4"/>
  <c r="N57" i="4"/>
  <c r="N229" i="4"/>
  <c r="N24" i="4"/>
  <c r="N17" i="4"/>
  <c r="N55" i="4"/>
  <c r="N138" i="4"/>
  <c r="N227" i="4"/>
  <c r="N82" i="4"/>
  <c r="N232" i="4"/>
  <c r="N110" i="4"/>
  <c r="N65" i="4"/>
  <c r="N126" i="4"/>
  <c r="N64" i="4"/>
  <c r="N123" i="4"/>
  <c r="N219" i="4"/>
  <c r="N48" i="4"/>
  <c r="N16" i="4"/>
  <c r="N157" i="4"/>
  <c r="N154" i="4"/>
  <c r="N301" i="4"/>
  <c r="N90" i="4"/>
  <c r="N234" i="4"/>
  <c r="N38" i="4"/>
  <c r="N262" i="4"/>
  <c r="N190" i="4"/>
  <c r="N293" i="4"/>
  <c r="N13" i="4"/>
  <c r="N188" i="4"/>
  <c r="N187" i="4"/>
  <c r="N211" i="4"/>
  <c r="N287" i="4"/>
  <c r="N170" i="4"/>
  <c r="N145" i="4"/>
  <c r="N288" i="4"/>
  <c r="N279" i="4"/>
  <c r="N140" i="4"/>
  <c r="N87" i="4"/>
  <c r="N11" i="4"/>
  <c r="N33" i="4"/>
  <c r="N40" i="4"/>
  <c r="N299" i="4"/>
  <c r="N72" i="4"/>
  <c r="N41" i="4"/>
  <c r="N191" i="4"/>
  <c r="N212" i="4"/>
  <c r="N294" i="4"/>
  <c r="N102" i="4"/>
  <c r="N127" i="4"/>
  <c r="N20" i="4"/>
  <c r="N251" i="4"/>
  <c r="N148" i="4"/>
  <c r="N142" i="4"/>
  <c r="N259" i="4"/>
  <c r="N3" i="4"/>
  <c r="N66" i="4"/>
  <c r="N86" i="4"/>
  <c r="N118" i="4"/>
  <c r="N104" i="4"/>
  <c r="N277" i="4"/>
  <c r="N275" i="4"/>
  <c r="N163" i="4"/>
  <c r="N207" i="4"/>
  <c r="N228" i="4"/>
  <c r="N202" i="4"/>
  <c r="N189" i="4"/>
  <c r="N182" i="4"/>
  <c r="N146" i="4"/>
  <c r="N185" i="4"/>
  <c r="N29" i="4"/>
  <c r="N112" i="4"/>
  <c r="N226" i="4"/>
  <c r="N261" i="4"/>
  <c r="N25" i="4"/>
  <c r="N68" i="4"/>
  <c r="N224" i="4"/>
  <c r="N15" i="4"/>
  <c r="N84" i="4"/>
  <c r="N130" i="4"/>
  <c r="N9" i="4"/>
  <c r="N192" i="4"/>
  <c r="N114" i="4"/>
  <c r="N209" i="4"/>
  <c r="N56" i="4"/>
  <c r="N10" i="4"/>
  <c r="N83" i="4"/>
  <c r="N203" i="4"/>
  <c r="N115" i="4"/>
  <c r="N135" i="4"/>
  <c r="N296" i="4"/>
  <c r="N153" i="4"/>
  <c r="N167" i="4"/>
  <c r="N204" i="4"/>
  <c r="N150" i="4"/>
  <c r="N221" i="4"/>
  <c r="N81" i="4"/>
  <c r="N151" i="4"/>
  <c r="N27" i="4"/>
  <c r="N295" i="4"/>
  <c r="N45" i="4"/>
  <c r="N292" i="4"/>
  <c r="N79" i="4"/>
  <c r="N156" i="4"/>
  <c r="N119" i="4"/>
  <c r="N42" i="4"/>
  <c r="N206" i="4"/>
  <c r="N161" i="4"/>
  <c r="N14" i="4"/>
  <c r="N183" i="4"/>
  <c r="N278" i="4"/>
  <c r="N214" i="4"/>
  <c r="N137" i="4"/>
  <c r="N180" i="4"/>
  <c r="N46" i="4"/>
  <c r="N260" i="4"/>
  <c r="N143" i="4"/>
  <c r="N164" i="4"/>
  <c r="N77" i="4"/>
  <c r="N94" i="4"/>
  <c r="N169" i="4"/>
  <c r="N193" i="4"/>
  <c r="N144" i="4"/>
  <c r="N255" i="4"/>
  <c r="N233" i="4"/>
  <c r="N106" i="4"/>
  <c r="N147" i="4"/>
  <c r="N291" i="4"/>
  <c r="N276" i="4"/>
  <c r="N282" i="4"/>
  <c r="N63" i="4"/>
  <c r="N199" i="4"/>
  <c r="N197" i="4"/>
  <c r="N220" i="4"/>
  <c r="N286" i="4"/>
  <c r="N285" i="4"/>
  <c r="N136" i="4"/>
  <c r="N268" i="4"/>
  <c r="N134" i="4"/>
  <c r="N69" i="4"/>
  <c r="N35" i="4"/>
  <c r="N8" i="4"/>
  <c r="N238" i="4"/>
  <c r="N32" i="4"/>
  <c r="N152" i="4"/>
  <c r="N215" i="4"/>
  <c r="N290" i="4"/>
  <c r="N249" i="4"/>
  <c r="N97" i="4"/>
  <c r="N230" i="4"/>
  <c r="N149" i="4"/>
  <c r="N174" i="4"/>
  <c r="N269" i="4"/>
  <c r="N216" i="4"/>
  <c r="N4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B326C-320F-4FBA-8CB2-C5F6D3597646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C6C79AF2-9CAC-4BA3-B2C7-52E581B3AD24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244AECD8-50B4-46D7-B6BF-6B42FE33ACE8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<sst xmlns="http://schemas.openxmlformats.org/spreadsheetml/2006/main" count="3947" uniqueCount="575">
  <si>
    <t>PostID</t>
  </si>
  <si>
    <t>Platform</t>
  </si>
  <si>
    <t>Date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</si>
  <si>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</si>
  <si>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</si>
  <si>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</si>
  <si>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</si>
  <si>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</si>
  <si>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</si>
  <si>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</si>
  <si>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</si>
  <si>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</si>
  <si>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</si>
  <si>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</si>
  <si>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</si>
  <si>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</si>
  <si>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</si>
  <si>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</si>
  <si>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</si>
  <si>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</si>
  <si>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Tweet</t>
  </si>
  <si>
    <t>Sustainability Awareness Drive</t>
  </si>
  <si>
    <t>A4</t>
  </si>
  <si>
    <t>Video</t>
  </si>
  <si>
    <t>iPhone 16 Launch</t>
  </si>
  <si>
    <t>A5</t>
  </si>
  <si>
    <t>A6</t>
  </si>
  <si>
    <t>#ShotOniPhone</t>
  </si>
  <si>
    <t>A7</t>
  </si>
  <si>
    <t>Carousel</t>
  </si>
  <si>
    <t>A8</t>
  </si>
  <si>
    <t>A9</t>
  </si>
  <si>
    <t>A10</t>
  </si>
  <si>
    <t>Twitter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</si>
  <si>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</si>
  <si>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</si>
  <si>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</si>
  <si>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</si>
  <si>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</si>
  <si>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</si>
  <si>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</si>
  <si>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</si>
  <si>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</si>
  <si>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</si>
  <si>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</si>
  <si>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</si>
  <si>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</si>
  <si>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</si>
  <si>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</si>
  <si>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</si>
  <si>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</si>
  <si>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</si>
  <si>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</si>
  <si>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</si>
  <si>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</si>
  <si>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</si>
  <si>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</si>
  <si>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</si>
  <si>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</si>
  <si>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</si>
  <si>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</si>
  <si>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</si>
  <si>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</si>
  <si>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</si>
  <si>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</si>
  <si>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</si>
  <si>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</si>
  <si>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</si>
  <si>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</si>
  <si>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</si>
  <si>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</si>
  <si>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</si>
  <si>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</si>
  <si>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</si>
  <si>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</si>
  <si>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</si>
  <si>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</si>
  <si>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</si>
  <si>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</si>
  <si>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</si>
  <si>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</si>
  <si>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</si>
  <si>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</si>
  <si>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</si>
  <si>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</si>
  <si>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</si>
  <si>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</si>
  <si>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</si>
  <si>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</si>
  <si>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</si>
  <si>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</si>
  <si>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</si>
  <si>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</si>
  <si>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</si>
  <si>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</si>
  <si>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</si>
  <si>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</si>
  <si>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</si>
  <si>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</si>
  <si>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</si>
  <si>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</si>
  <si>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</si>
  <si>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</si>
  <si>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</si>
  <si>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</si>
  <si>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</si>
  <si>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</si>
  <si>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</si>
  <si>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</si>
  <si>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</si>
  <si>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</si>
  <si>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</si>
  <si>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</si>
  <si>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</si>
  <si>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</si>
  <si>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</si>
  <si>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</si>
  <si>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</si>
  <si>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</si>
  <si>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</si>
  <si>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</si>
  <si>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</si>
  <si>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</si>
  <si>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</si>
  <si>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</si>
  <si>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</si>
  <si>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</si>
  <si>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</si>
  <si>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</si>
  <si>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</si>
  <si>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</si>
  <si>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</si>
  <si>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</si>
  <si>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</si>
  <si>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</si>
  <si>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</si>
  <si>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</si>
  <si>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</si>
  <si>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</si>
  <si>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</si>
  <si>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</si>
  <si>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</si>
  <si>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</si>
  <si>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</si>
  <si>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</si>
  <si>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</si>
  <si>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</si>
  <si>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</si>
  <si>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</si>
  <si>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</si>
  <si>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</si>
  <si>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</si>
  <si>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</si>
  <si>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</si>
  <si>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</si>
  <si>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</si>
  <si>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</si>
  <si>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</si>
  <si>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</si>
  <si>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</si>
  <si>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</si>
  <si>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</si>
  <si>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</si>
  <si>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</si>
  <si>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</si>
  <si>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</si>
  <si>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</si>
  <si>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</si>
  <si>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</si>
  <si>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</si>
  <si>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</si>
  <si>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</si>
  <si>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</si>
  <si>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</si>
  <si>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</si>
  <si>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</si>
  <si>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</si>
  <si>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</si>
  <si>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</si>
  <si>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</si>
  <si>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</si>
  <si>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</si>
  <si>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</si>
  <si>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</si>
  <si>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</si>
  <si>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</si>
  <si>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</si>
  <si>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</si>
  <si>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</si>
  <si>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</si>
  <si>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</si>
  <si>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</si>
  <si>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</si>
  <si>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</si>
  <si>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</si>
  <si>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</si>
  <si>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</si>
  <si>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</si>
  <si>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</si>
  <si>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</si>
  <si>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</si>
  <si>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</si>
  <si>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</si>
  <si>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</si>
  <si>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</si>
  <si>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</si>
  <si>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</si>
  <si>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</si>
  <si>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</si>
  <si>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</si>
  <si>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</si>
  <si>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</si>
  <si>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</si>
  <si>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</si>
  <si>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</si>
  <si>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</si>
  <si>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</si>
  <si>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</si>
  <si>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</si>
  <si>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</si>
  <si>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</si>
  <si>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</si>
  <si>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</si>
  <si>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</si>
  <si>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</si>
  <si>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</si>
  <si>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</si>
  <si>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</si>
  <si>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</si>
  <si>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</si>
  <si>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</si>
  <si>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</si>
  <si>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</si>
  <si>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</si>
  <si>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</si>
  <si>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</si>
  <si>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</si>
  <si>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</si>
  <si>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</si>
  <si>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</si>
  <si>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</si>
  <si>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</si>
  <si>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</si>
  <si>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</si>
  <si>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</si>
  <si>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</si>
  <si>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</si>
  <si>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</si>
  <si>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</si>
  <si>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</si>
  <si>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</si>
  <si>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</si>
  <si>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</si>
  <si>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</si>
  <si>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</si>
  <si>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</si>
  <si>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</si>
  <si>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</si>
  <si>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</si>
  <si>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</si>
  <si>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</si>
  <si>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</si>
  <si>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</si>
  <si>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</si>
  <si>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</si>
  <si>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</si>
  <si>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</si>
  <si>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</si>
  <si>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</si>
  <si>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</si>
  <si>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</si>
  <si>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</si>
  <si>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</si>
  <si>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</si>
  <si>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</si>
  <si>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</si>
  <si>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</si>
  <si>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</si>
  <si>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</si>
  <si>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</si>
  <si>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</si>
  <si>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</si>
  <si>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</si>
  <si>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</si>
  <si>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</si>
  <si>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</si>
  <si>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</si>
  <si>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</si>
  <si>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</si>
  <si>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</si>
  <si>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</si>
  <si>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</si>
  <si>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</si>
  <si>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</si>
  <si>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</si>
  <si>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</si>
  <si>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</si>
  <si>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</si>
  <si>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</si>
  <si>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</si>
  <si>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</si>
  <si>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</si>
  <si>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</si>
  <si>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</si>
  <si>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</si>
  <si>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</si>
  <si>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</si>
  <si>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</si>
  <si>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</si>
  <si>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</si>
  <si>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</si>
  <si>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</si>
  <si>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</si>
  <si>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</si>
  <si>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</si>
  <si>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</si>
  <si>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</si>
  <si>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</si>
  <si>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</si>
  <si>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</si>
  <si>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</si>
  <si>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</si>
  <si>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</si>
  <si>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</si>
  <si>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</si>
  <si>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</si>
  <si>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</si>
  <si>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</si>
  <si>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</si>
  <si>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</si>
  <si>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</si>
  <si>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</si>
  <si>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</si>
  <si>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</si>
  <si>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</si>
  <si>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</si>
  <si>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</si>
  <si>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</si>
  <si>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</si>
  <si>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</si>
  <si>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</si>
  <si>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</si>
  <si>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Hashtags.2</t>
  </si>
  <si>
    <t>Hashtags.3</t>
  </si>
  <si>
    <t xml:space="preserve">#AppleWatchUltra2 </t>
  </si>
  <si>
    <t>#HealthTech</t>
  </si>
  <si>
    <t xml:space="preserve">#MacBookAirM3 </t>
  </si>
  <si>
    <t>#AppleInnovation</t>
  </si>
  <si>
    <t xml:space="preserve">#AppleDesign </t>
  </si>
  <si>
    <t>#Innovation</t>
  </si>
  <si>
    <t xml:space="preserve">#AppleEvent </t>
  </si>
  <si>
    <t>#iPadPro</t>
  </si>
  <si>
    <t xml:space="preserve">#AppleMusic </t>
  </si>
  <si>
    <t>#AppleLifestyle</t>
  </si>
  <si>
    <t xml:space="preserve">#AppleWatch </t>
  </si>
  <si>
    <t>#Health</t>
  </si>
  <si>
    <t xml:space="preserve">#iPhone16Launch </t>
  </si>
  <si>
    <t>#AppleEvent</t>
  </si>
  <si>
    <t>#iPhone16</t>
  </si>
  <si>
    <t xml:space="preserve">#iPhonePhotography </t>
  </si>
  <si>
    <t xml:space="preserve">#Sustainability </t>
  </si>
  <si>
    <t>#AppleEarth</t>
  </si>
  <si>
    <t>Row Labels</t>
  </si>
  <si>
    <t>Grand Total</t>
  </si>
  <si>
    <t>Sum of Shares</t>
  </si>
  <si>
    <t>Sum of Comments</t>
  </si>
  <si>
    <t>Sum of Likes</t>
  </si>
  <si>
    <t>Engament_Rate</t>
  </si>
  <si>
    <t>Column Labels</t>
  </si>
  <si>
    <t>Total Sum of Likes</t>
  </si>
  <si>
    <t>Total Sum of Shares</t>
  </si>
  <si>
    <t>Total Sum of Comments</t>
  </si>
  <si>
    <t>Average of Clicks</t>
  </si>
  <si>
    <t>Platform Analysis</t>
  </si>
  <si>
    <t>Hashtag Analysis</t>
  </si>
  <si>
    <t>Sum of New_Followers</t>
  </si>
  <si>
    <t>Average of Engagement_Rate</t>
  </si>
  <si>
    <t>Sum of Ad_Spend</t>
  </si>
  <si>
    <t>Average of Likes</t>
  </si>
  <si>
    <t>Count of PostID</t>
  </si>
  <si>
    <t>Most used Hashtag</t>
  </si>
  <si>
    <t>Hashtag Performance Analysis</t>
  </si>
  <si>
    <t>Sum of Clicks</t>
  </si>
  <si>
    <t>Sum of Impressions</t>
  </si>
  <si>
    <t>Average of Engament_Rate</t>
  </si>
  <si>
    <t>Average of Impressions</t>
  </si>
  <si>
    <t>Sum of Engament_Rate</t>
  </si>
  <si>
    <t xml:space="preserve"> Average Engagement Rate Per Platform</t>
  </si>
  <si>
    <t xml:space="preserve">Top 10 Apple posts with highest engagement. </t>
  </si>
  <si>
    <t>Content Type and Platform Analysis</t>
  </si>
  <si>
    <t>Platform with Highest Engagement</t>
  </si>
  <si>
    <t>Follower Growth Comparison</t>
  </si>
  <si>
    <t>Engagement vs Ad Spend</t>
  </si>
  <si>
    <t>Content Performance</t>
  </si>
  <si>
    <t xml:space="preserve">Total &amp; Average Impressions, Likes, Clicks per Campaign. </t>
  </si>
  <si>
    <t>Hashtags</t>
  </si>
  <si>
    <t>2024-12-23</t>
  </si>
  <si>
    <t>#AppleWatchUltra2 #HealthTech</t>
  </si>
  <si>
    <t>#MacBookAirM3 #AppleInnovation</t>
  </si>
  <si>
    <t>2025-05-12</t>
  </si>
  <si>
    <t>#AppleDesign #Innovation</t>
  </si>
  <si>
    <t>2024-08-12</t>
  </si>
  <si>
    <t>#AppleEvent #iPadPro</t>
  </si>
  <si>
    <t>2024-06-24</t>
  </si>
  <si>
    <t>#AppleMusic #AppleLifestyle</t>
  </si>
  <si>
    <t>2024-07-13</t>
  </si>
  <si>
    <t>#AppleWatch #Health</t>
  </si>
  <si>
    <t>2024-08-30</t>
  </si>
  <si>
    <t>2025-03-11</t>
  </si>
  <si>
    <t>#iPhone16Launch #AppleEvent</t>
  </si>
  <si>
    <t>2025-02-02</t>
  </si>
  <si>
    <t>2024-07-21</t>
  </si>
  <si>
    <t>2024-11-18</t>
  </si>
  <si>
    <t>2024-08-26</t>
  </si>
  <si>
    <t>2025-05-05</t>
  </si>
  <si>
    <t>#AppleEvent #iPhone16</t>
  </si>
  <si>
    <t>2024-08-19</t>
  </si>
  <si>
    <t>2024-06-23</t>
  </si>
  <si>
    <t>2024-09-09</t>
  </si>
  <si>
    <t>#iPhonePhotography #ShotOniPhone</t>
  </si>
  <si>
    <t>2025-02-27</t>
  </si>
  <si>
    <t>2024-11-06</t>
  </si>
  <si>
    <t>2025-01-23</t>
  </si>
  <si>
    <t>2025-04-05</t>
  </si>
  <si>
    <t>2024-09-17</t>
  </si>
  <si>
    <t>2025-03-04</t>
  </si>
  <si>
    <t>2025-02-25</t>
  </si>
  <si>
    <t>2024-12-16</t>
  </si>
  <si>
    <t>2024-07-31</t>
  </si>
  <si>
    <t>2024-11-30</t>
  </si>
  <si>
    <t>2025-04-19</t>
  </si>
  <si>
    <t>2025-01-06</t>
  </si>
  <si>
    <t>2025-02-17</t>
  </si>
  <si>
    <t>2025-03-05</t>
  </si>
  <si>
    <t>2025-03-02</t>
  </si>
  <si>
    <t>2025-05-02</t>
  </si>
  <si>
    <t>2025-02-24</t>
  </si>
  <si>
    <t>2024-07-03</t>
  </si>
  <si>
    <t>2024-06-13</t>
  </si>
  <si>
    <t>2025-03-13</t>
  </si>
  <si>
    <t>2024-06-17</t>
  </si>
  <si>
    <t>2024-12-18</t>
  </si>
  <si>
    <t>2024-10-21</t>
  </si>
  <si>
    <t>2025-04-15</t>
  </si>
  <si>
    <t>2024-06-22</t>
  </si>
  <si>
    <t>2025-01-28</t>
  </si>
  <si>
    <t>2024-09-05</t>
  </si>
  <si>
    <t>2024-08-17</t>
  </si>
  <si>
    <t>2025-03-28</t>
  </si>
  <si>
    <t>2024-07-26</t>
  </si>
  <si>
    <t>2025-03-29</t>
  </si>
  <si>
    <t>2024-12-08</t>
  </si>
  <si>
    <t>2025-03-08</t>
  </si>
  <si>
    <t>2025-04-02</t>
  </si>
  <si>
    <t>2024-09-02</t>
  </si>
  <si>
    <t>2025-03-03</t>
  </si>
  <si>
    <t>2024-10-28</t>
  </si>
  <si>
    <t>2024-08-01</t>
  </si>
  <si>
    <t>2024-11-07</t>
  </si>
  <si>
    <t>#Sustainability #AppleEarth</t>
  </si>
  <si>
    <t>2024-10-19</t>
  </si>
  <si>
    <t>2024-07-24</t>
  </si>
  <si>
    <t>2024-10-15</t>
  </si>
  <si>
    <t>2024-12-09</t>
  </si>
  <si>
    <t>2025-01-27</t>
  </si>
  <si>
    <t>2024-06-06</t>
  </si>
  <si>
    <t>2024-07-07</t>
  </si>
  <si>
    <t>2024-06-03</t>
  </si>
  <si>
    <t>2024-12-11</t>
  </si>
  <si>
    <t>2024-11-08</t>
  </si>
  <si>
    <t>2024-09-10</t>
  </si>
  <si>
    <t>2024-08-13</t>
  </si>
  <si>
    <t>2024-06-10</t>
  </si>
  <si>
    <t>2024-07-02</t>
  </si>
  <si>
    <t>2024-10-18</t>
  </si>
  <si>
    <t>2025-03-23</t>
  </si>
  <si>
    <t>2024-06-14</t>
  </si>
  <si>
    <t>2025-02-04</t>
  </si>
  <si>
    <t>2024-06-21</t>
  </si>
  <si>
    <t>2024-08-08</t>
  </si>
  <si>
    <t>2024-07-29</t>
  </si>
  <si>
    <t>2024-11-23</t>
  </si>
  <si>
    <t>2024-10-05</t>
  </si>
  <si>
    <t>2024-11-14</t>
  </si>
  <si>
    <t>2025-03-18</t>
  </si>
  <si>
    <t>2024-11-04</t>
  </si>
  <si>
    <t>2025-02-07</t>
  </si>
  <si>
    <t>2024-10-02</t>
  </si>
  <si>
    <t>2025-04-06</t>
  </si>
  <si>
    <t>2024-09-08</t>
  </si>
  <si>
    <t>2025-01-10</t>
  </si>
  <si>
    <t>2024-09-29</t>
  </si>
  <si>
    <t>2025-02-06</t>
  </si>
  <si>
    <t>2024-11-28</t>
  </si>
  <si>
    <t>2024-10-29</t>
  </si>
  <si>
    <t>2024-07-15</t>
  </si>
  <si>
    <t>2025-03-25</t>
  </si>
  <si>
    <t>2024-06-05</t>
  </si>
  <si>
    <t>2024-06-16</t>
  </si>
  <si>
    <t>2024-08-22</t>
  </si>
  <si>
    <t>2025-01-01</t>
  </si>
  <si>
    <t>2024-10-09</t>
  </si>
  <si>
    <t>2024-12-21</t>
  </si>
  <si>
    <t>2024-10-22</t>
  </si>
  <si>
    <t>2024-07-23</t>
  </si>
  <si>
    <t>2024-08-11</t>
  </si>
  <si>
    <t>2024-08-24</t>
  </si>
  <si>
    <t>2025-04-01</t>
  </si>
  <si>
    <t>2025-04-08</t>
  </si>
  <si>
    <t>2025-02-16</t>
  </si>
  <si>
    <t>2024-11-12</t>
  </si>
  <si>
    <t>2024-12-03</t>
  </si>
  <si>
    <t>2025-04-28</t>
  </si>
  <si>
    <t>2024-12-31</t>
  </si>
  <si>
    <t>2024-08-14</t>
  </si>
  <si>
    <t>2024-12-05</t>
  </si>
  <si>
    <t>2024-07-10</t>
  </si>
  <si>
    <t>2024-12-17</t>
  </si>
  <si>
    <t>2025-01-11</t>
  </si>
  <si>
    <t>2024-12-22</t>
  </si>
  <si>
    <t>2025-03-24</t>
  </si>
  <si>
    <t>2024-10-04</t>
  </si>
  <si>
    <t>2024-09-11</t>
  </si>
  <si>
    <t>2024-08-15</t>
  </si>
  <si>
    <t>2025-04-07</t>
  </si>
  <si>
    <t>2025-01-15</t>
  </si>
  <si>
    <t>2024-11-21</t>
  </si>
  <si>
    <t>2024-12-29</t>
  </si>
  <si>
    <t>2025-03-19</t>
  </si>
  <si>
    <t>2025-02-19</t>
  </si>
  <si>
    <t>2025-05-01</t>
  </si>
  <si>
    <t>2024-06-11</t>
  </si>
  <si>
    <t>2024-06-02</t>
  </si>
  <si>
    <t>2024-10-08</t>
  </si>
  <si>
    <t>2024-06-20</t>
  </si>
  <si>
    <t>2024-06-12</t>
  </si>
  <si>
    <t>2024-07-01</t>
  </si>
  <si>
    <t>2025-04-29</t>
  </si>
  <si>
    <t>2024-06-01</t>
  </si>
  <si>
    <t>2024-07-16</t>
  </si>
  <si>
    <t>2025-01-18</t>
  </si>
  <si>
    <t>2025-03-06</t>
  </si>
  <si>
    <t>2025-01-12</t>
  </si>
  <si>
    <t>2024-10-11</t>
  </si>
  <si>
    <t>2024-08-27</t>
  </si>
  <si>
    <t>2024-07-18</t>
  </si>
  <si>
    <t>2025-01-14</t>
  </si>
  <si>
    <t>2025-04-03</t>
  </si>
  <si>
    <t>2024-08-05</t>
  </si>
  <si>
    <t>2025-02-10</t>
  </si>
  <si>
    <t>2025-02-12</t>
  </si>
  <si>
    <t>2024-10-27</t>
  </si>
  <si>
    <t>2024-08-20</t>
  </si>
  <si>
    <t>2025-01-30</t>
  </si>
  <si>
    <t>2025-02-20</t>
  </si>
  <si>
    <t>2024-11-25</t>
  </si>
  <si>
    <t>2025-04-13</t>
  </si>
  <si>
    <t>2024-11-05</t>
  </si>
  <si>
    <t>2024-10-17</t>
  </si>
  <si>
    <t>2025-03-27</t>
  </si>
  <si>
    <t>2024-10-12</t>
  </si>
  <si>
    <t>2024-06-07</t>
  </si>
  <si>
    <t>2024-11-26</t>
  </si>
  <si>
    <t>2025-03-22</t>
  </si>
  <si>
    <t>2024-10-03</t>
  </si>
  <si>
    <t>2025-05-09</t>
  </si>
  <si>
    <t>2025-04-17</t>
  </si>
  <si>
    <t>2024-11-17</t>
  </si>
  <si>
    <t>2025-05-14</t>
  </si>
  <si>
    <t>2024-06-19</t>
  </si>
  <si>
    <t>2025-05-06</t>
  </si>
  <si>
    <t>2025-02-11</t>
  </si>
  <si>
    <t>2024-12-24</t>
  </si>
  <si>
    <t>https://drive.google.com/file/d/1imWxCA5opJmHyfS2aPwQ42asQhyjZrjR/view?usp=drive_link</t>
  </si>
  <si>
    <t xml:space="preserve">Video 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</si>
</sst>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;@"/>
    <numFmt numFmtId="165" formatCode="0.0%"/>
    <numFmt numFmtId="166" formatCode="yyyy\-mm\-dd\ hh:mm:ss"/>
    <numFmt numFmtId="167" formatCode="yyyy\-mm\-dd"/>
    <numFmt numFmtId="168" formatCode="yyyy\-m\-d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4" fillId="2" borderId="1" applyNumberFormat="0" applyAlignment="0" applyProtection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5" fillId="3" borderId="0" xfId="0" applyFont="1" applyFill="1"/>
    <xf numFmtId="164" fontId="0" fillId="0" borderId="0" xfId="0" applyNumberFormat="1"/>
    <xf numFmtId="0" fontId="4" fillId="3" borderId="1" xfId="1" applyFill="1"/>
    <xf numFmtId="0" fontId="0" fillId="0" borderId="0" xfId="0" pivotButton="1"/>
    <xf numFmtId="0" fontId="0" fillId="0" borderId="0" xfId="0" applyAlignment="1">
      <alignment horizontal="left"/>
    </xf>
    <xf numFmtId="164" fontId="4" fillId="3" borderId="1" xfId="1" applyNumberFormat="1" applyFill="1"/>
    <xf numFmtId="0" fontId="7" fillId="3" borderId="0" xfId="0" applyFont="1" applyFill="1"/>
    <xf numFmtId="164" fontId="7" fillId="3" borderId="0" xfId="0" applyNumberFormat="1" applyFont="1" applyFill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8" fillId="4" borderId="0" xfId="0" applyFont="1" applyFill="1"/>
    <xf numFmtId="0" fontId="0" fillId="4" borderId="0" xfId="0" applyFill="1"/>
    <xf numFmtId="2" fontId="4" fillId="3" borderId="1" xfId="1" applyNumberFormat="1" applyFill="1"/>
    <xf numFmtId="0" fontId="3" fillId="0" borderId="0" xfId="0" applyFont="1"/>
    <xf numFmtId="14" fontId="0" fillId="0" borderId="0" xfId="0" applyNumberFormat="1" applyAlignment="1">
      <alignment horizontal="left"/>
    </xf>
    <xf numFmtId="10" fontId="0" fillId="0" borderId="0" xfId="0" applyNumberFormat="1"/>
    <xf numFmtId="0" fontId="2" fillId="0" borderId="0" xfId="0" applyFont="1"/>
    <xf numFmtId="0" fontId="2" fillId="4" borderId="0" xfId="0" applyFont="1" applyFill="1"/>
    <xf numFmtId="0" fontId="4" fillId="5" borderId="1" xfId="1" applyFill="1"/>
    <xf numFmtId="164" fontId="4" fillId="5" borderId="1" xfId="1" applyNumberFormat="1" applyFill="1"/>
    <xf numFmtId="2" fontId="4" fillId="5" borderId="1" xfId="1" applyNumberFormat="1" applyFill="1"/>
    <xf numFmtId="165" fontId="0" fillId="5" borderId="0" xfId="0" applyNumberFormat="1" applyFill="1"/>
    <xf numFmtId="0" fontId="10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 wrapText="1"/>
    </xf>
    <xf numFmtId="166" fontId="9" fillId="0" borderId="0" xfId="0" applyNumberFormat="1" applyFont="1"/>
    <xf numFmtId="0" fontId="9" fillId="0" borderId="4" xfId="0" applyFont="1" applyBorder="1" applyAlignment="1">
      <alignment horizontal="right" wrapText="1"/>
    </xf>
    <xf numFmtId="167" fontId="9" fillId="0" borderId="0" xfId="0" applyNumberFormat="1" applyFont="1"/>
    <xf numFmtId="168" fontId="9" fillId="0" borderId="0" xfId="0" applyNumberFormat="1" applyFont="1"/>
    <xf numFmtId="164" fontId="0" fillId="0" borderId="0" xfId="0" applyNumberFormat="1" applyAlignment="1">
      <alignment horizontal="left"/>
    </xf>
    <xf numFmtId="0" fontId="1" fillId="0" borderId="0" xfId="0" applyFont="1"/>
    <xf numFmtId="0" fontId="11" fillId="0" borderId="0" xfId="2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3" fillId="4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Output" xfId="1" builtinId="21"/>
  </cellStyles>
  <dxfs count="58">
    <dxf>
      <numFmt numFmtId="164" formatCode="yyyy\-mm\-dd;@"/>
    </dxf>
    <dxf>
      <numFmt numFmtId="164" formatCode="yyyy\-mm\-dd;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%"/>
    </dxf>
    <dxf>
      <numFmt numFmtId="14" formatCode="0.00%"/>
    </dxf>
    <dxf>
      <numFmt numFmtId="169" formatCode="0.000"/>
    </dxf>
    <dxf>
      <numFmt numFmtId="14" formatCode="0.00%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theme="3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3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4" formatCode="yyyy\-mm\-dd;@"/>
    </dxf>
    <dxf>
      <numFmt numFmtId="164" formatCode="yyyy\-mm\-dd;@"/>
    </dxf>
    <dxf>
      <numFmt numFmtId="0" formatCode="General"/>
    </dxf>
    <dxf>
      <numFmt numFmtId="164" formatCode="yyyy\-mm\-dd;@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 (1).xlsx]Task3_Platform_Analysis!PivotTable6</c:name>
    <c:fmtId val="1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Task3_Platform_Analysis!$H$2:$H$3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Task3_Platform_Analysis!$G$4:$G$54</c:f>
              <c:strCache>
                <c:ptCount val="50"/>
                <c:pt idx="0">
                  <c:v>6/3/2024</c:v>
                </c:pt>
                <c:pt idx="1">
                  <c:v>6/10/2024</c:v>
                </c:pt>
                <c:pt idx="2">
                  <c:v>6/17/2024</c:v>
                </c:pt>
                <c:pt idx="3">
                  <c:v>6/24/2024</c:v>
                </c:pt>
                <c:pt idx="4">
                  <c:v>7/1/2024</c:v>
                </c:pt>
                <c:pt idx="5">
                  <c:v>7/8/2024</c:v>
                </c:pt>
                <c:pt idx="6">
                  <c:v>7/15/2024</c:v>
                </c:pt>
                <c:pt idx="7">
                  <c:v>7/22/2024</c:v>
                </c:pt>
                <c:pt idx="8">
                  <c:v>7/29/2024</c:v>
                </c:pt>
                <c:pt idx="9">
                  <c:v>8/5/2024</c:v>
                </c:pt>
                <c:pt idx="10">
                  <c:v>8/12/2024</c:v>
                </c:pt>
                <c:pt idx="11">
                  <c:v>8/19/2024</c:v>
                </c:pt>
                <c:pt idx="12">
                  <c:v>8/26/2024</c:v>
                </c:pt>
                <c:pt idx="13">
                  <c:v>9/2/2024</c:v>
                </c:pt>
                <c:pt idx="14">
                  <c:v>9/9/2024</c:v>
                </c:pt>
                <c:pt idx="15">
                  <c:v>9/16/2024</c:v>
                </c:pt>
                <c:pt idx="16">
                  <c:v>9/23/2024</c:v>
                </c:pt>
                <c:pt idx="17">
                  <c:v>9/30/2024</c:v>
                </c:pt>
                <c:pt idx="18">
                  <c:v>10/7/2024</c:v>
                </c:pt>
                <c:pt idx="19">
                  <c:v>10/14/2024</c:v>
                </c:pt>
                <c:pt idx="20">
                  <c:v>10/21/2024</c:v>
                </c:pt>
                <c:pt idx="21">
                  <c:v>10/28/2024</c:v>
                </c:pt>
                <c:pt idx="22">
                  <c:v>11/4/2024</c:v>
                </c:pt>
                <c:pt idx="23">
                  <c:v>11/11/2024</c:v>
                </c:pt>
                <c:pt idx="24">
                  <c:v>11/18/2024</c:v>
                </c:pt>
                <c:pt idx="25">
                  <c:v>11/25/2024</c:v>
                </c:pt>
                <c:pt idx="26">
                  <c:v>12/2/2024</c:v>
                </c:pt>
                <c:pt idx="27">
                  <c:v>12/9/2024</c:v>
                </c:pt>
                <c:pt idx="28">
                  <c:v>12/16/2024</c:v>
                </c:pt>
                <c:pt idx="29">
                  <c:v>12/23/2024</c:v>
                </c:pt>
                <c:pt idx="30">
                  <c:v>12/30/2024</c:v>
                </c:pt>
                <c:pt idx="31">
                  <c:v>1/6/2025</c:v>
                </c:pt>
                <c:pt idx="32">
                  <c:v>1/13/2025</c:v>
                </c:pt>
                <c:pt idx="33">
                  <c:v>1/20/2025</c:v>
                </c:pt>
                <c:pt idx="34">
                  <c:v>1/27/2025</c:v>
                </c:pt>
                <c:pt idx="35">
                  <c:v>2/3/2025</c:v>
                </c:pt>
                <c:pt idx="36">
                  <c:v>2/10/2025</c:v>
                </c:pt>
                <c:pt idx="37">
                  <c:v>2/17/2025</c:v>
                </c:pt>
                <c:pt idx="38">
                  <c:v>2/24/2025</c:v>
                </c:pt>
                <c:pt idx="39">
                  <c:v>3/3/2025</c:v>
                </c:pt>
                <c:pt idx="40">
                  <c:v>3/10/2025</c:v>
                </c:pt>
                <c:pt idx="41">
                  <c:v>3/17/2025</c:v>
                </c:pt>
                <c:pt idx="42">
                  <c:v>3/24/2025</c:v>
                </c:pt>
                <c:pt idx="43">
                  <c:v>3/31/2025</c:v>
                </c:pt>
                <c:pt idx="44">
                  <c:v>4/7/2025</c:v>
                </c:pt>
                <c:pt idx="45">
                  <c:v>4/14/2025</c:v>
                </c:pt>
                <c:pt idx="46">
                  <c:v>4/21/2025</c:v>
                </c:pt>
                <c:pt idx="47">
                  <c:v>4/28/2025</c:v>
                </c:pt>
                <c:pt idx="48">
                  <c:v>5/5/2025</c:v>
                </c:pt>
                <c:pt idx="49">
                  <c:v>5/12/2025</c:v>
                </c:pt>
              </c:strCache>
            </c:strRef>
          </c:cat>
          <c:val>
            <c:numRef>
              <c:f>Task3_Platform_Analysis!$H$4:$H$54</c:f>
              <c:numCache>
                <c:formatCode>General</c:formatCode>
                <c:ptCount val="50"/>
                <c:pt idx="0">
                  <c:v>8693</c:v>
                </c:pt>
                <c:pt idx="1">
                  <c:v>9203</c:v>
                </c:pt>
                <c:pt idx="2">
                  <c:v>6907</c:v>
                </c:pt>
                <c:pt idx="3">
                  <c:v>16885</c:v>
                </c:pt>
                <c:pt idx="4">
                  <c:v>9429</c:v>
                </c:pt>
                <c:pt idx="5">
                  <c:v>8045</c:v>
                </c:pt>
                <c:pt idx="6">
                  <c:v>8137</c:v>
                </c:pt>
                <c:pt idx="7">
                  <c:v>8179</c:v>
                </c:pt>
                <c:pt idx="8">
                  <c:v>6947</c:v>
                </c:pt>
                <c:pt idx="9">
                  <c:v>3719</c:v>
                </c:pt>
                <c:pt idx="10">
                  <c:v>14333</c:v>
                </c:pt>
                <c:pt idx="12">
                  <c:v>6175</c:v>
                </c:pt>
                <c:pt idx="13">
                  <c:v>7406</c:v>
                </c:pt>
                <c:pt idx="15">
                  <c:v>4292</c:v>
                </c:pt>
                <c:pt idx="16">
                  <c:v>5517</c:v>
                </c:pt>
                <c:pt idx="17">
                  <c:v>9737</c:v>
                </c:pt>
                <c:pt idx="19">
                  <c:v>18028</c:v>
                </c:pt>
                <c:pt idx="22">
                  <c:v>10051</c:v>
                </c:pt>
                <c:pt idx="23">
                  <c:v>10819</c:v>
                </c:pt>
                <c:pt idx="24">
                  <c:v>7036</c:v>
                </c:pt>
                <c:pt idx="27">
                  <c:v>7164</c:v>
                </c:pt>
                <c:pt idx="28">
                  <c:v>7272</c:v>
                </c:pt>
                <c:pt idx="30">
                  <c:v>3279</c:v>
                </c:pt>
                <c:pt idx="31">
                  <c:v>10226</c:v>
                </c:pt>
                <c:pt idx="32">
                  <c:v>8088</c:v>
                </c:pt>
                <c:pt idx="33">
                  <c:v>22105</c:v>
                </c:pt>
                <c:pt idx="34">
                  <c:v>13170</c:v>
                </c:pt>
                <c:pt idx="35">
                  <c:v>17438</c:v>
                </c:pt>
                <c:pt idx="36">
                  <c:v>1147</c:v>
                </c:pt>
                <c:pt idx="37">
                  <c:v>1365</c:v>
                </c:pt>
                <c:pt idx="39">
                  <c:v>7085</c:v>
                </c:pt>
                <c:pt idx="40">
                  <c:v>9551</c:v>
                </c:pt>
                <c:pt idx="43">
                  <c:v>6978</c:v>
                </c:pt>
                <c:pt idx="44">
                  <c:v>9714</c:v>
                </c:pt>
                <c:pt idx="46">
                  <c:v>8128</c:v>
                </c:pt>
                <c:pt idx="47">
                  <c:v>17532</c:v>
                </c:pt>
                <c:pt idx="49">
                  <c:v>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7-4577-AD2A-245DB2C27275}"/>
            </c:ext>
          </c:extLst>
        </c:ser>
        <c:ser>
          <c:idx val="1"/>
          <c:order val="1"/>
          <c:tx>
            <c:strRef>
              <c:f>Task3_Platform_Analysis!$I$2:$I$3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Task3_Platform_Analysis!$G$4:$G$54</c:f>
              <c:strCache>
                <c:ptCount val="50"/>
                <c:pt idx="0">
                  <c:v>6/3/2024</c:v>
                </c:pt>
                <c:pt idx="1">
                  <c:v>6/10/2024</c:v>
                </c:pt>
                <c:pt idx="2">
                  <c:v>6/17/2024</c:v>
                </c:pt>
                <c:pt idx="3">
                  <c:v>6/24/2024</c:v>
                </c:pt>
                <c:pt idx="4">
                  <c:v>7/1/2024</c:v>
                </c:pt>
                <c:pt idx="5">
                  <c:v>7/8/2024</c:v>
                </c:pt>
                <c:pt idx="6">
                  <c:v>7/15/2024</c:v>
                </c:pt>
                <c:pt idx="7">
                  <c:v>7/22/2024</c:v>
                </c:pt>
                <c:pt idx="8">
                  <c:v>7/29/2024</c:v>
                </c:pt>
                <c:pt idx="9">
                  <c:v>8/5/2024</c:v>
                </c:pt>
                <c:pt idx="10">
                  <c:v>8/12/2024</c:v>
                </c:pt>
                <c:pt idx="11">
                  <c:v>8/19/2024</c:v>
                </c:pt>
                <c:pt idx="12">
                  <c:v>8/26/2024</c:v>
                </c:pt>
                <c:pt idx="13">
                  <c:v>9/2/2024</c:v>
                </c:pt>
                <c:pt idx="14">
                  <c:v>9/9/2024</c:v>
                </c:pt>
                <c:pt idx="15">
                  <c:v>9/16/2024</c:v>
                </c:pt>
                <c:pt idx="16">
                  <c:v>9/23/2024</c:v>
                </c:pt>
                <c:pt idx="17">
                  <c:v>9/30/2024</c:v>
                </c:pt>
                <c:pt idx="18">
                  <c:v>10/7/2024</c:v>
                </c:pt>
                <c:pt idx="19">
                  <c:v>10/14/2024</c:v>
                </c:pt>
                <c:pt idx="20">
                  <c:v>10/21/2024</c:v>
                </c:pt>
                <c:pt idx="21">
                  <c:v>10/28/2024</c:v>
                </c:pt>
                <c:pt idx="22">
                  <c:v>11/4/2024</c:v>
                </c:pt>
                <c:pt idx="23">
                  <c:v>11/11/2024</c:v>
                </c:pt>
                <c:pt idx="24">
                  <c:v>11/18/2024</c:v>
                </c:pt>
                <c:pt idx="25">
                  <c:v>11/25/2024</c:v>
                </c:pt>
                <c:pt idx="26">
                  <c:v>12/2/2024</c:v>
                </c:pt>
                <c:pt idx="27">
                  <c:v>12/9/2024</c:v>
                </c:pt>
                <c:pt idx="28">
                  <c:v>12/16/2024</c:v>
                </c:pt>
                <c:pt idx="29">
                  <c:v>12/23/2024</c:v>
                </c:pt>
                <c:pt idx="30">
                  <c:v>12/30/2024</c:v>
                </c:pt>
                <c:pt idx="31">
                  <c:v>1/6/2025</c:v>
                </c:pt>
                <c:pt idx="32">
                  <c:v>1/13/2025</c:v>
                </c:pt>
                <c:pt idx="33">
                  <c:v>1/20/2025</c:v>
                </c:pt>
                <c:pt idx="34">
                  <c:v>1/27/2025</c:v>
                </c:pt>
                <c:pt idx="35">
                  <c:v>2/3/2025</c:v>
                </c:pt>
                <c:pt idx="36">
                  <c:v>2/10/2025</c:v>
                </c:pt>
                <c:pt idx="37">
                  <c:v>2/17/2025</c:v>
                </c:pt>
                <c:pt idx="38">
                  <c:v>2/24/2025</c:v>
                </c:pt>
                <c:pt idx="39">
                  <c:v>3/3/2025</c:v>
                </c:pt>
                <c:pt idx="40">
                  <c:v>3/10/2025</c:v>
                </c:pt>
                <c:pt idx="41">
                  <c:v>3/17/2025</c:v>
                </c:pt>
                <c:pt idx="42">
                  <c:v>3/24/2025</c:v>
                </c:pt>
                <c:pt idx="43">
                  <c:v>3/31/2025</c:v>
                </c:pt>
                <c:pt idx="44">
                  <c:v>4/7/2025</c:v>
                </c:pt>
                <c:pt idx="45">
                  <c:v>4/14/2025</c:v>
                </c:pt>
                <c:pt idx="46">
                  <c:v>4/21/2025</c:v>
                </c:pt>
                <c:pt idx="47">
                  <c:v>4/28/2025</c:v>
                </c:pt>
                <c:pt idx="48">
                  <c:v>5/5/2025</c:v>
                </c:pt>
                <c:pt idx="49">
                  <c:v>5/12/2025</c:v>
                </c:pt>
              </c:strCache>
            </c:strRef>
          </c:cat>
          <c:val>
            <c:numRef>
              <c:f>Task3_Platform_Analysis!$I$4:$I$54</c:f>
              <c:numCache>
                <c:formatCode>General</c:formatCode>
                <c:ptCount val="50"/>
                <c:pt idx="2">
                  <c:v>7097</c:v>
                </c:pt>
                <c:pt idx="4">
                  <c:v>5917</c:v>
                </c:pt>
                <c:pt idx="5">
                  <c:v>12349</c:v>
                </c:pt>
                <c:pt idx="7">
                  <c:v>17307</c:v>
                </c:pt>
                <c:pt idx="8">
                  <c:v>8622</c:v>
                </c:pt>
                <c:pt idx="9">
                  <c:v>5349</c:v>
                </c:pt>
                <c:pt idx="12">
                  <c:v>1689</c:v>
                </c:pt>
                <c:pt idx="13">
                  <c:v>9591</c:v>
                </c:pt>
                <c:pt idx="14">
                  <c:v>6671</c:v>
                </c:pt>
                <c:pt idx="15">
                  <c:v>2382</c:v>
                </c:pt>
                <c:pt idx="18">
                  <c:v>2549</c:v>
                </c:pt>
                <c:pt idx="21">
                  <c:v>16789</c:v>
                </c:pt>
                <c:pt idx="22">
                  <c:v>5268</c:v>
                </c:pt>
                <c:pt idx="23">
                  <c:v>5592</c:v>
                </c:pt>
                <c:pt idx="24">
                  <c:v>10242</c:v>
                </c:pt>
                <c:pt idx="25">
                  <c:v>9737</c:v>
                </c:pt>
                <c:pt idx="26">
                  <c:v>5839</c:v>
                </c:pt>
                <c:pt idx="27">
                  <c:v>1016</c:v>
                </c:pt>
                <c:pt idx="28">
                  <c:v>9616</c:v>
                </c:pt>
                <c:pt idx="29">
                  <c:v>8743</c:v>
                </c:pt>
                <c:pt idx="30">
                  <c:v>18556</c:v>
                </c:pt>
                <c:pt idx="31">
                  <c:v>9980</c:v>
                </c:pt>
                <c:pt idx="32">
                  <c:v>7869</c:v>
                </c:pt>
                <c:pt idx="34">
                  <c:v>8083</c:v>
                </c:pt>
                <c:pt idx="36">
                  <c:v>13799</c:v>
                </c:pt>
                <c:pt idx="37">
                  <c:v>5531</c:v>
                </c:pt>
                <c:pt idx="39">
                  <c:v>8504</c:v>
                </c:pt>
                <c:pt idx="40">
                  <c:v>2827</c:v>
                </c:pt>
                <c:pt idx="41">
                  <c:v>21174</c:v>
                </c:pt>
                <c:pt idx="42">
                  <c:v>22600</c:v>
                </c:pt>
                <c:pt idx="43">
                  <c:v>1780</c:v>
                </c:pt>
                <c:pt idx="44">
                  <c:v>4983</c:v>
                </c:pt>
                <c:pt idx="45">
                  <c:v>27882</c:v>
                </c:pt>
                <c:pt idx="47">
                  <c:v>1685</c:v>
                </c:pt>
                <c:pt idx="48">
                  <c:v>3294</c:v>
                </c:pt>
                <c:pt idx="49">
                  <c:v>9466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57-4577-AD2A-245DB2C27275}"/>
            </c:ext>
          </c:extLst>
        </c:ser>
        <c:ser>
          <c:idx val="2"/>
          <c:order val="2"/>
          <c:tx>
            <c:strRef>
              <c:f>Task3_Platform_Analysis!$J$2:$J$3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Task3_Platform_Analysis!$G$4:$G$54</c:f>
              <c:strCache>
                <c:ptCount val="50"/>
                <c:pt idx="0">
                  <c:v>6/3/2024</c:v>
                </c:pt>
                <c:pt idx="1">
                  <c:v>6/10/2024</c:v>
                </c:pt>
                <c:pt idx="2">
                  <c:v>6/17/2024</c:v>
                </c:pt>
                <c:pt idx="3">
                  <c:v>6/24/2024</c:v>
                </c:pt>
                <c:pt idx="4">
                  <c:v>7/1/2024</c:v>
                </c:pt>
                <c:pt idx="5">
                  <c:v>7/8/2024</c:v>
                </c:pt>
                <c:pt idx="6">
                  <c:v>7/15/2024</c:v>
                </c:pt>
                <c:pt idx="7">
                  <c:v>7/22/2024</c:v>
                </c:pt>
                <c:pt idx="8">
                  <c:v>7/29/2024</c:v>
                </c:pt>
                <c:pt idx="9">
                  <c:v>8/5/2024</c:v>
                </c:pt>
                <c:pt idx="10">
                  <c:v>8/12/2024</c:v>
                </c:pt>
                <c:pt idx="11">
                  <c:v>8/19/2024</c:v>
                </c:pt>
                <c:pt idx="12">
                  <c:v>8/26/2024</c:v>
                </c:pt>
                <c:pt idx="13">
                  <c:v>9/2/2024</c:v>
                </c:pt>
                <c:pt idx="14">
                  <c:v>9/9/2024</c:v>
                </c:pt>
                <c:pt idx="15">
                  <c:v>9/16/2024</c:v>
                </c:pt>
                <c:pt idx="16">
                  <c:v>9/23/2024</c:v>
                </c:pt>
                <c:pt idx="17">
                  <c:v>9/30/2024</c:v>
                </c:pt>
                <c:pt idx="18">
                  <c:v>10/7/2024</c:v>
                </c:pt>
                <c:pt idx="19">
                  <c:v>10/14/2024</c:v>
                </c:pt>
                <c:pt idx="20">
                  <c:v>10/21/2024</c:v>
                </c:pt>
                <c:pt idx="21">
                  <c:v>10/28/2024</c:v>
                </c:pt>
                <c:pt idx="22">
                  <c:v>11/4/2024</c:v>
                </c:pt>
                <c:pt idx="23">
                  <c:v>11/11/2024</c:v>
                </c:pt>
                <c:pt idx="24">
                  <c:v>11/18/2024</c:v>
                </c:pt>
                <c:pt idx="25">
                  <c:v>11/25/2024</c:v>
                </c:pt>
                <c:pt idx="26">
                  <c:v>12/2/2024</c:v>
                </c:pt>
                <c:pt idx="27">
                  <c:v>12/9/2024</c:v>
                </c:pt>
                <c:pt idx="28">
                  <c:v>12/16/2024</c:v>
                </c:pt>
                <c:pt idx="29">
                  <c:v>12/23/2024</c:v>
                </c:pt>
                <c:pt idx="30">
                  <c:v>12/30/2024</c:v>
                </c:pt>
                <c:pt idx="31">
                  <c:v>1/6/2025</c:v>
                </c:pt>
                <c:pt idx="32">
                  <c:v>1/13/2025</c:v>
                </c:pt>
                <c:pt idx="33">
                  <c:v>1/20/2025</c:v>
                </c:pt>
                <c:pt idx="34">
                  <c:v>1/27/2025</c:v>
                </c:pt>
                <c:pt idx="35">
                  <c:v>2/3/2025</c:v>
                </c:pt>
                <c:pt idx="36">
                  <c:v>2/10/2025</c:v>
                </c:pt>
                <c:pt idx="37">
                  <c:v>2/17/2025</c:v>
                </c:pt>
                <c:pt idx="38">
                  <c:v>2/24/2025</c:v>
                </c:pt>
                <c:pt idx="39">
                  <c:v>3/3/2025</c:v>
                </c:pt>
                <c:pt idx="40">
                  <c:v>3/10/2025</c:v>
                </c:pt>
                <c:pt idx="41">
                  <c:v>3/17/2025</c:v>
                </c:pt>
                <c:pt idx="42">
                  <c:v>3/24/2025</c:v>
                </c:pt>
                <c:pt idx="43">
                  <c:v>3/31/2025</c:v>
                </c:pt>
                <c:pt idx="44">
                  <c:v>4/7/2025</c:v>
                </c:pt>
                <c:pt idx="45">
                  <c:v>4/14/2025</c:v>
                </c:pt>
                <c:pt idx="46">
                  <c:v>4/21/2025</c:v>
                </c:pt>
                <c:pt idx="47">
                  <c:v>4/28/2025</c:v>
                </c:pt>
                <c:pt idx="48">
                  <c:v>5/5/2025</c:v>
                </c:pt>
                <c:pt idx="49">
                  <c:v>5/12/2025</c:v>
                </c:pt>
              </c:strCache>
            </c:strRef>
          </c:cat>
          <c:val>
            <c:numRef>
              <c:f>Task3_Platform_Analysis!$J$4:$J$54</c:f>
              <c:numCache>
                <c:formatCode>General</c:formatCode>
                <c:ptCount val="50"/>
                <c:pt idx="0">
                  <c:v>4138</c:v>
                </c:pt>
                <c:pt idx="1">
                  <c:v>7721</c:v>
                </c:pt>
                <c:pt idx="2">
                  <c:v>15029</c:v>
                </c:pt>
                <c:pt idx="3">
                  <c:v>5259</c:v>
                </c:pt>
                <c:pt idx="4">
                  <c:v>6490</c:v>
                </c:pt>
                <c:pt idx="6">
                  <c:v>5500</c:v>
                </c:pt>
                <c:pt idx="9">
                  <c:v>3494</c:v>
                </c:pt>
                <c:pt idx="10">
                  <c:v>7610</c:v>
                </c:pt>
                <c:pt idx="11">
                  <c:v>15013</c:v>
                </c:pt>
                <c:pt idx="12">
                  <c:v>9648</c:v>
                </c:pt>
                <c:pt idx="13">
                  <c:v>8627</c:v>
                </c:pt>
                <c:pt idx="14">
                  <c:v>7907</c:v>
                </c:pt>
                <c:pt idx="16">
                  <c:v>14578</c:v>
                </c:pt>
                <c:pt idx="17">
                  <c:v>10637</c:v>
                </c:pt>
                <c:pt idx="18">
                  <c:v>5481</c:v>
                </c:pt>
                <c:pt idx="20">
                  <c:v>26389</c:v>
                </c:pt>
                <c:pt idx="24">
                  <c:v>5798</c:v>
                </c:pt>
                <c:pt idx="25">
                  <c:v>15788</c:v>
                </c:pt>
                <c:pt idx="26">
                  <c:v>9987</c:v>
                </c:pt>
                <c:pt idx="27">
                  <c:v>3672</c:v>
                </c:pt>
                <c:pt idx="28">
                  <c:v>5583</c:v>
                </c:pt>
                <c:pt idx="29">
                  <c:v>4631</c:v>
                </c:pt>
                <c:pt idx="30">
                  <c:v>4897</c:v>
                </c:pt>
                <c:pt idx="32">
                  <c:v>3247</c:v>
                </c:pt>
                <c:pt idx="34">
                  <c:v>4271</c:v>
                </c:pt>
                <c:pt idx="37">
                  <c:v>12840</c:v>
                </c:pt>
                <c:pt idx="38">
                  <c:v>16193</c:v>
                </c:pt>
                <c:pt idx="40">
                  <c:v>3376</c:v>
                </c:pt>
                <c:pt idx="41">
                  <c:v>9569</c:v>
                </c:pt>
                <c:pt idx="43">
                  <c:v>6607</c:v>
                </c:pt>
                <c:pt idx="44">
                  <c:v>1521</c:v>
                </c:pt>
                <c:pt idx="46">
                  <c:v>16669</c:v>
                </c:pt>
                <c:pt idx="48">
                  <c:v>8697</c:v>
                </c:pt>
                <c:pt idx="49">
                  <c:v>3196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57-4577-AD2A-245DB2C27275}"/>
            </c:ext>
          </c:extLst>
        </c:ser>
        <c:ser>
          <c:idx val="3"/>
          <c:order val="3"/>
          <c:tx>
            <c:strRef>
              <c:f>Task3_Platform_Analysis!$K$2:$K$3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Task3_Platform_Analysis!$G$4:$G$54</c:f>
              <c:strCache>
                <c:ptCount val="50"/>
                <c:pt idx="0">
                  <c:v>6/3/2024</c:v>
                </c:pt>
                <c:pt idx="1">
                  <c:v>6/10/2024</c:v>
                </c:pt>
                <c:pt idx="2">
                  <c:v>6/17/2024</c:v>
                </c:pt>
                <c:pt idx="3">
                  <c:v>6/24/2024</c:v>
                </c:pt>
                <c:pt idx="4">
                  <c:v>7/1/2024</c:v>
                </c:pt>
                <c:pt idx="5">
                  <c:v>7/8/2024</c:v>
                </c:pt>
                <c:pt idx="6">
                  <c:v>7/15/2024</c:v>
                </c:pt>
                <c:pt idx="7">
                  <c:v>7/22/2024</c:v>
                </c:pt>
                <c:pt idx="8">
                  <c:v>7/29/2024</c:v>
                </c:pt>
                <c:pt idx="9">
                  <c:v>8/5/2024</c:v>
                </c:pt>
                <c:pt idx="10">
                  <c:v>8/12/2024</c:v>
                </c:pt>
                <c:pt idx="11">
                  <c:v>8/19/2024</c:v>
                </c:pt>
                <c:pt idx="12">
                  <c:v>8/26/2024</c:v>
                </c:pt>
                <c:pt idx="13">
                  <c:v>9/2/2024</c:v>
                </c:pt>
                <c:pt idx="14">
                  <c:v>9/9/2024</c:v>
                </c:pt>
                <c:pt idx="15">
                  <c:v>9/16/2024</c:v>
                </c:pt>
                <c:pt idx="16">
                  <c:v>9/23/2024</c:v>
                </c:pt>
                <c:pt idx="17">
                  <c:v>9/30/2024</c:v>
                </c:pt>
                <c:pt idx="18">
                  <c:v>10/7/2024</c:v>
                </c:pt>
                <c:pt idx="19">
                  <c:v>10/14/2024</c:v>
                </c:pt>
                <c:pt idx="20">
                  <c:v>10/21/2024</c:v>
                </c:pt>
                <c:pt idx="21">
                  <c:v>10/28/2024</c:v>
                </c:pt>
                <c:pt idx="22">
                  <c:v>11/4/2024</c:v>
                </c:pt>
                <c:pt idx="23">
                  <c:v>11/11/2024</c:v>
                </c:pt>
                <c:pt idx="24">
                  <c:v>11/18/2024</c:v>
                </c:pt>
                <c:pt idx="25">
                  <c:v>11/25/2024</c:v>
                </c:pt>
                <c:pt idx="26">
                  <c:v>12/2/2024</c:v>
                </c:pt>
                <c:pt idx="27">
                  <c:v>12/9/2024</c:v>
                </c:pt>
                <c:pt idx="28">
                  <c:v>12/16/2024</c:v>
                </c:pt>
                <c:pt idx="29">
                  <c:v>12/23/2024</c:v>
                </c:pt>
                <c:pt idx="30">
                  <c:v>12/30/2024</c:v>
                </c:pt>
                <c:pt idx="31">
                  <c:v>1/6/2025</c:v>
                </c:pt>
                <c:pt idx="32">
                  <c:v>1/13/2025</c:v>
                </c:pt>
                <c:pt idx="33">
                  <c:v>1/20/2025</c:v>
                </c:pt>
                <c:pt idx="34">
                  <c:v>1/27/2025</c:v>
                </c:pt>
                <c:pt idx="35">
                  <c:v>2/3/2025</c:v>
                </c:pt>
                <c:pt idx="36">
                  <c:v>2/10/2025</c:v>
                </c:pt>
                <c:pt idx="37">
                  <c:v>2/17/2025</c:v>
                </c:pt>
                <c:pt idx="38">
                  <c:v>2/24/2025</c:v>
                </c:pt>
                <c:pt idx="39">
                  <c:v>3/3/2025</c:v>
                </c:pt>
                <c:pt idx="40">
                  <c:v>3/10/2025</c:v>
                </c:pt>
                <c:pt idx="41">
                  <c:v>3/17/2025</c:v>
                </c:pt>
                <c:pt idx="42">
                  <c:v>3/24/2025</c:v>
                </c:pt>
                <c:pt idx="43">
                  <c:v>3/31/2025</c:v>
                </c:pt>
                <c:pt idx="44">
                  <c:v>4/7/2025</c:v>
                </c:pt>
                <c:pt idx="45">
                  <c:v>4/14/2025</c:v>
                </c:pt>
                <c:pt idx="46">
                  <c:v>4/21/2025</c:v>
                </c:pt>
                <c:pt idx="47">
                  <c:v>4/28/2025</c:v>
                </c:pt>
                <c:pt idx="48">
                  <c:v>5/5/2025</c:v>
                </c:pt>
                <c:pt idx="49">
                  <c:v>5/12/2025</c:v>
                </c:pt>
              </c:strCache>
            </c:strRef>
          </c:cat>
          <c:val>
            <c:numRef>
              <c:f>Task3_Platform_Analysis!$K$4:$K$54</c:f>
              <c:numCache>
                <c:formatCode>General</c:formatCode>
                <c:ptCount val="50"/>
                <c:pt idx="0">
                  <c:v>18106</c:v>
                </c:pt>
                <c:pt idx="1">
                  <c:v>8002</c:v>
                </c:pt>
                <c:pt idx="3">
                  <c:v>9286</c:v>
                </c:pt>
                <c:pt idx="6">
                  <c:v>1963</c:v>
                </c:pt>
                <c:pt idx="7">
                  <c:v>9734</c:v>
                </c:pt>
                <c:pt idx="8">
                  <c:v>4036</c:v>
                </c:pt>
                <c:pt idx="9">
                  <c:v>2884</c:v>
                </c:pt>
                <c:pt idx="10">
                  <c:v>7430</c:v>
                </c:pt>
                <c:pt idx="11">
                  <c:v>10587</c:v>
                </c:pt>
                <c:pt idx="12">
                  <c:v>6078</c:v>
                </c:pt>
                <c:pt idx="14">
                  <c:v>12438</c:v>
                </c:pt>
                <c:pt idx="15">
                  <c:v>10331</c:v>
                </c:pt>
                <c:pt idx="18">
                  <c:v>11856</c:v>
                </c:pt>
                <c:pt idx="19">
                  <c:v>7548</c:v>
                </c:pt>
                <c:pt idx="20">
                  <c:v>7793</c:v>
                </c:pt>
                <c:pt idx="21">
                  <c:v>13549</c:v>
                </c:pt>
                <c:pt idx="22">
                  <c:v>3385</c:v>
                </c:pt>
                <c:pt idx="23">
                  <c:v>5795</c:v>
                </c:pt>
                <c:pt idx="25">
                  <c:v>5719</c:v>
                </c:pt>
                <c:pt idx="26">
                  <c:v>4493</c:v>
                </c:pt>
                <c:pt idx="27">
                  <c:v>5200</c:v>
                </c:pt>
                <c:pt idx="29">
                  <c:v>8177</c:v>
                </c:pt>
                <c:pt idx="31">
                  <c:v>9906</c:v>
                </c:pt>
                <c:pt idx="32">
                  <c:v>1078</c:v>
                </c:pt>
                <c:pt idx="33">
                  <c:v>8340</c:v>
                </c:pt>
                <c:pt idx="35">
                  <c:v>14055</c:v>
                </c:pt>
                <c:pt idx="38">
                  <c:v>17457</c:v>
                </c:pt>
                <c:pt idx="39">
                  <c:v>7511</c:v>
                </c:pt>
                <c:pt idx="40">
                  <c:v>4009</c:v>
                </c:pt>
                <c:pt idx="42">
                  <c:v>4747</c:v>
                </c:pt>
                <c:pt idx="43">
                  <c:v>1769</c:v>
                </c:pt>
                <c:pt idx="44">
                  <c:v>7303</c:v>
                </c:pt>
                <c:pt idx="48">
                  <c:v>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57-4577-AD2A-245DB2C27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249536"/>
        <c:axId val="1765247616"/>
      </c:lineChart>
      <c:catAx>
        <c:axId val="17652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247616"/>
        <c:crosses val="autoZero"/>
        <c:auto val="1"/>
        <c:lblAlgn val="ctr"/>
        <c:lblOffset val="100"/>
        <c:noMultiLvlLbl val="0"/>
      </c:catAx>
      <c:valAx>
        <c:axId val="176524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24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 (1).xlsx]Task6_ Follower_Retention_Loyal!PivotTable2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'Task6_ Follower_Retention_Loyal'!$R$3:$R$4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'Task6_ Follower_Retention_Loyal'!$Q$5:$Q$54</c:f>
              <c:strCache>
                <c:ptCount val="50"/>
                <c:pt idx="0">
                  <c:v>6/3/2024</c:v>
                </c:pt>
                <c:pt idx="1">
                  <c:v>6/10/2024</c:v>
                </c:pt>
                <c:pt idx="2">
                  <c:v>6/17/2024</c:v>
                </c:pt>
                <c:pt idx="3">
                  <c:v>6/24/2024</c:v>
                </c:pt>
                <c:pt idx="4">
                  <c:v>7/1/2024</c:v>
                </c:pt>
                <c:pt idx="5">
                  <c:v>7/8/2024</c:v>
                </c:pt>
                <c:pt idx="6">
                  <c:v>7/15/2024</c:v>
                </c:pt>
                <c:pt idx="7">
                  <c:v>7/22/2024</c:v>
                </c:pt>
                <c:pt idx="8">
                  <c:v>7/29/2024</c:v>
                </c:pt>
                <c:pt idx="9">
                  <c:v>8/5/2024</c:v>
                </c:pt>
                <c:pt idx="10">
                  <c:v>8/12/2024</c:v>
                </c:pt>
                <c:pt idx="11">
                  <c:v>8/19/2024</c:v>
                </c:pt>
                <c:pt idx="12">
                  <c:v>8/26/2024</c:v>
                </c:pt>
                <c:pt idx="13">
                  <c:v>9/2/2024</c:v>
                </c:pt>
                <c:pt idx="14">
                  <c:v>9/9/2024</c:v>
                </c:pt>
                <c:pt idx="15">
                  <c:v>9/16/2024</c:v>
                </c:pt>
                <c:pt idx="16">
                  <c:v>9/23/2024</c:v>
                </c:pt>
                <c:pt idx="17">
                  <c:v>9/30/2024</c:v>
                </c:pt>
                <c:pt idx="18">
                  <c:v>10/7/2024</c:v>
                </c:pt>
                <c:pt idx="19">
                  <c:v>10/14/2024</c:v>
                </c:pt>
                <c:pt idx="20">
                  <c:v>10/21/2024</c:v>
                </c:pt>
                <c:pt idx="21">
                  <c:v>10/28/2024</c:v>
                </c:pt>
                <c:pt idx="22">
                  <c:v>11/4/2024</c:v>
                </c:pt>
                <c:pt idx="23">
                  <c:v>11/11/2024</c:v>
                </c:pt>
                <c:pt idx="24">
                  <c:v>11/18/2024</c:v>
                </c:pt>
                <c:pt idx="25">
                  <c:v>11/25/2024</c:v>
                </c:pt>
                <c:pt idx="26">
                  <c:v>12/2/2024</c:v>
                </c:pt>
                <c:pt idx="27">
                  <c:v>12/9/2024</c:v>
                </c:pt>
                <c:pt idx="28">
                  <c:v>12/16/2024</c:v>
                </c:pt>
                <c:pt idx="29">
                  <c:v>12/23/2024</c:v>
                </c:pt>
                <c:pt idx="30">
                  <c:v>12/30/2024</c:v>
                </c:pt>
                <c:pt idx="31">
                  <c:v>1/6/2025</c:v>
                </c:pt>
                <c:pt idx="32">
                  <c:v>1/13/2025</c:v>
                </c:pt>
                <c:pt idx="33">
                  <c:v>1/20/2025</c:v>
                </c:pt>
                <c:pt idx="34">
                  <c:v>1/27/2025</c:v>
                </c:pt>
                <c:pt idx="35">
                  <c:v>2/3/2025</c:v>
                </c:pt>
                <c:pt idx="36">
                  <c:v>2/10/2025</c:v>
                </c:pt>
                <c:pt idx="37">
                  <c:v>2/17/2025</c:v>
                </c:pt>
                <c:pt idx="38">
                  <c:v>2/24/2025</c:v>
                </c:pt>
                <c:pt idx="39">
                  <c:v>3/3/2025</c:v>
                </c:pt>
                <c:pt idx="40">
                  <c:v>3/10/2025</c:v>
                </c:pt>
                <c:pt idx="41">
                  <c:v>3/17/2025</c:v>
                </c:pt>
                <c:pt idx="42">
                  <c:v>3/24/2025</c:v>
                </c:pt>
                <c:pt idx="43">
                  <c:v>3/31/2025</c:v>
                </c:pt>
                <c:pt idx="44">
                  <c:v>4/7/2025</c:v>
                </c:pt>
                <c:pt idx="45">
                  <c:v>4/14/2025</c:v>
                </c:pt>
                <c:pt idx="46">
                  <c:v>4/21/2025</c:v>
                </c:pt>
                <c:pt idx="47">
                  <c:v>4/28/2025</c:v>
                </c:pt>
                <c:pt idx="48">
                  <c:v>5/5/2025</c:v>
                </c:pt>
                <c:pt idx="49">
                  <c:v>5/12/2025</c:v>
                </c:pt>
              </c:strCache>
            </c:strRef>
          </c:cat>
          <c:val>
            <c:numRef>
              <c:f>'Task6_ Follower_Retention_Loyal'!$R$5:$R$54</c:f>
              <c:numCache>
                <c:formatCode>General</c:formatCode>
                <c:ptCount val="50"/>
                <c:pt idx="0">
                  <c:v>4138</c:v>
                </c:pt>
                <c:pt idx="1">
                  <c:v>7721</c:v>
                </c:pt>
                <c:pt idx="2">
                  <c:v>15029</c:v>
                </c:pt>
                <c:pt idx="3">
                  <c:v>5259</c:v>
                </c:pt>
                <c:pt idx="4">
                  <c:v>6490</c:v>
                </c:pt>
                <c:pt idx="5">
                  <c:v>0</c:v>
                </c:pt>
                <c:pt idx="6">
                  <c:v>5500</c:v>
                </c:pt>
                <c:pt idx="7">
                  <c:v>0</c:v>
                </c:pt>
                <c:pt idx="8">
                  <c:v>0</c:v>
                </c:pt>
                <c:pt idx="9">
                  <c:v>3494</c:v>
                </c:pt>
                <c:pt idx="10">
                  <c:v>7610</c:v>
                </c:pt>
                <c:pt idx="11">
                  <c:v>15013</c:v>
                </c:pt>
                <c:pt idx="12">
                  <c:v>9648</c:v>
                </c:pt>
                <c:pt idx="13">
                  <c:v>8627</c:v>
                </c:pt>
                <c:pt idx="14">
                  <c:v>7907</c:v>
                </c:pt>
                <c:pt idx="15">
                  <c:v>0</c:v>
                </c:pt>
                <c:pt idx="16">
                  <c:v>14578</c:v>
                </c:pt>
                <c:pt idx="17">
                  <c:v>10637</c:v>
                </c:pt>
                <c:pt idx="18">
                  <c:v>5481</c:v>
                </c:pt>
                <c:pt idx="19">
                  <c:v>0</c:v>
                </c:pt>
                <c:pt idx="20">
                  <c:v>26389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5798</c:v>
                </c:pt>
                <c:pt idx="25">
                  <c:v>15788</c:v>
                </c:pt>
                <c:pt idx="26">
                  <c:v>9987</c:v>
                </c:pt>
                <c:pt idx="27">
                  <c:v>3672</c:v>
                </c:pt>
                <c:pt idx="28">
                  <c:v>5583</c:v>
                </c:pt>
                <c:pt idx="29">
                  <c:v>4631</c:v>
                </c:pt>
                <c:pt idx="30">
                  <c:v>4897</c:v>
                </c:pt>
                <c:pt idx="31">
                  <c:v>0</c:v>
                </c:pt>
                <c:pt idx="32">
                  <c:v>3247</c:v>
                </c:pt>
                <c:pt idx="33">
                  <c:v>0</c:v>
                </c:pt>
                <c:pt idx="34">
                  <c:v>4271</c:v>
                </c:pt>
                <c:pt idx="35">
                  <c:v>0</c:v>
                </c:pt>
                <c:pt idx="36">
                  <c:v>0</c:v>
                </c:pt>
                <c:pt idx="37">
                  <c:v>12840</c:v>
                </c:pt>
                <c:pt idx="38">
                  <c:v>16193</c:v>
                </c:pt>
                <c:pt idx="39">
                  <c:v>0</c:v>
                </c:pt>
                <c:pt idx="40">
                  <c:v>3376</c:v>
                </c:pt>
                <c:pt idx="41">
                  <c:v>9569</c:v>
                </c:pt>
                <c:pt idx="42">
                  <c:v>0</c:v>
                </c:pt>
                <c:pt idx="43">
                  <c:v>6607</c:v>
                </c:pt>
                <c:pt idx="44">
                  <c:v>1521</c:v>
                </c:pt>
                <c:pt idx="45">
                  <c:v>0</c:v>
                </c:pt>
                <c:pt idx="46">
                  <c:v>16669</c:v>
                </c:pt>
                <c:pt idx="47">
                  <c:v>0</c:v>
                </c:pt>
                <c:pt idx="48">
                  <c:v>8697</c:v>
                </c:pt>
                <c:pt idx="49">
                  <c:v>3196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F-4C43-B1E9-5AE39DF710B8}"/>
            </c:ext>
          </c:extLst>
        </c:ser>
        <c:ser>
          <c:idx val="1"/>
          <c:order val="1"/>
          <c:tx>
            <c:strRef>
              <c:f>'Task6_ Follower_Retention_Loyal'!$S$3:$S$4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'Task6_ Follower_Retention_Loyal'!$Q$5:$Q$54</c:f>
              <c:strCache>
                <c:ptCount val="50"/>
                <c:pt idx="0">
                  <c:v>6/3/2024</c:v>
                </c:pt>
                <c:pt idx="1">
                  <c:v>6/10/2024</c:v>
                </c:pt>
                <c:pt idx="2">
                  <c:v>6/17/2024</c:v>
                </c:pt>
                <c:pt idx="3">
                  <c:v>6/24/2024</c:v>
                </c:pt>
                <c:pt idx="4">
                  <c:v>7/1/2024</c:v>
                </c:pt>
                <c:pt idx="5">
                  <c:v>7/8/2024</c:v>
                </c:pt>
                <c:pt idx="6">
                  <c:v>7/15/2024</c:v>
                </c:pt>
                <c:pt idx="7">
                  <c:v>7/22/2024</c:v>
                </c:pt>
                <c:pt idx="8">
                  <c:v>7/29/2024</c:v>
                </c:pt>
                <c:pt idx="9">
                  <c:v>8/5/2024</c:v>
                </c:pt>
                <c:pt idx="10">
                  <c:v>8/12/2024</c:v>
                </c:pt>
                <c:pt idx="11">
                  <c:v>8/19/2024</c:v>
                </c:pt>
                <c:pt idx="12">
                  <c:v>8/26/2024</c:v>
                </c:pt>
                <c:pt idx="13">
                  <c:v>9/2/2024</c:v>
                </c:pt>
                <c:pt idx="14">
                  <c:v>9/9/2024</c:v>
                </c:pt>
                <c:pt idx="15">
                  <c:v>9/16/2024</c:v>
                </c:pt>
                <c:pt idx="16">
                  <c:v>9/23/2024</c:v>
                </c:pt>
                <c:pt idx="17">
                  <c:v>9/30/2024</c:v>
                </c:pt>
                <c:pt idx="18">
                  <c:v>10/7/2024</c:v>
                </c:pt>
                <c:pt idx="19">
                  <c:v>10/14/2024</c:v>
                </c:pt>
                <c:pt idx="20">
                  <c:v>10/21/2024</c:v>
                </c:pt>
                <c:pt idx="21">
                  <c:v>10/28/2024</c:v>
                </c:pt>
                <c:pt idx="22">
                  <c:v>11/4/2024</c:v>
                </c:pt>
                <c:pt idx="23">
                  <c:v>11/11/2024</c:v>
                </c:pt>
                <c:pt idx="24">
                  <c:v>11/18/2024</c:v>
                </c:pt>
                <c:pt idx="25">
                  <c:v>11/25/2024</c:v>
                </c:pt>
                <c:pt idx="26">
                  <c:v>12/2/2024</c:v>
                </c:pt>
                <c:pt idx="27">
                  <c:v>12/9/2024</c:v>
                </c:pt>
                <c:pt idx="28">
                  <c:v>12/16/2024</c:v>
                </c:pt>
                <c:pt idx="29">
                  <c:v>12/23/2024</c:v>
                </c:pt>
                <c:pt idx="30">
                  <c:v>12/30/2024</c:v>
                </c:pt>
                <c:pt idx="31">
                  <c:v>1/6/2025</c:v>
                </c:pt>
                <c:pt idx="32">
                  <c:v>1/13/2025</c:v>
                </c:pt>
                <c:pt idx="33">
                  <c:v>1/20/2025</c:v>
                </c:pt>
                <c:pt idx="34">
                  <c:v>1/27/2025</c:v>
                </c:pt>
                <c:pt idx="35">
                  <c:v>2/3/2025</c:v>
                </c:pt>
                <c:pt idx="36">
                  <c:v>2/10/2025</c:v>
                </c:pt>
                <c:pt idx="37">
                  <c:v>2/17/2025</c:v>
                </c:pt>
                <c:pt idx="38">
                  <c:v>2/24/2025</c:v>
                </c:pt>
                <c:pt idx="39">
                  <c:v>3/3/2025</c:v>
                </c:pt>
                <c:pt idx="40">
                  <c:v>3/10/2025</c:v>
                </c:pt>
                <c:pt idx="41">
                  <c:v>3/17/2025</c:v>
                </c:pt>
                <c:pt idx="42">
                  <c:v>3/24/2025</c:v>
                </c:pt>
                <c:pt idx="43">
                  <c:v>3/31/2025</c:v>
                </c:pt>
                <c:pt idx="44">
                  <c:v>4/7/2025</c:v>
                </c:pt>
                <c:pt idx="45">
                  <c:v>4/14/2025</c:v>
                </c:pt>
                <c:pt idx="46">
                  <c:v>4/21/2025</c:v>
                </c:pt>
                <c:pt idx="47">
                  <c:v>4/28/2025</c:v>
                </c:pt>
                <c:pt idx="48">
                  <c:v>5/5/2025</c:v>
                </c:pt>
                <c:pt idx="49">
                  <c:v>5/12/2025</c:v>
                </c:pt>
              </c:strCache>
            </c:strRef>
          </c:cat>
          <c:val>
            <c:numRef>
              <c:f>'Task6_ Follower_Retention_Loyal'!$S$5:$S$54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7097</c:v>
                </c:pt>
                <c:pt idx="3">
                  <c:v>0</c:v>
                </c:pt>
                <c:pt idx="4">
                  <c:v>5917</c:v>
                </c:pt>
                <c:pt idx="5">
                  <c:v>12349</c:v>
                </c:pt>
                <c:pt idx="6">
                  <c:v>0</c:v>
                </c:pt>
                <c:pt idx="7">
                  <c:v>17307</c:v>
                </c:pt>
                <c:pt idx="8">
                  <c:v>8622</c:v>
                </c:pt>
                <c:pt idx="9">
                  <c:v>5349</c:v>
                </c:pt>
                <c:pt idx="10">
                  <c:v>0</c:v>
                </c:pt>
                <c:pt idx="11">
                  <c:v>0</c:v>
                </c:pt>
                <c:pt idx="12">
                  <c:v>1689</c:v>
                </c:pt>
                <c:pt idx="13">
                  <c:v>9591</c:v>
                </c:pt>
                <c:pt idx="14">
                  <c:v>6671</c:v>
                </c:pt>
                <c:pt idx="15">
                  <c:v>2382</c:v>
                </c:pt>
                <c:pt idx="16">
                  <c:v>0</c:v>
                </c:pt>
                <c:pt idx="17">
                  <c:v>0</c:v>
                </c:pt>
                <c:pt idx="18">
                  <c:v>2549</c:v>
                </c:pt>
                <c:pt idx="19">
                  <c:v>0</c:v>
                </c:pt>
                <c:pt idx="20">
                  <c:v>0</c:v>
                </c:pt>
                <c:pt idx="21">
                  <c:v>16789</c:v>
                </c:pt>
                <c:pt idx="22">
                  <c:v>5268</c:v>
                </c:pt>
                <c:pt idx="23">
                  <c:v>5592</c:v>
                </c:pt>
                <c:pt idx="24">
                  <c:v>10242</c:v>
                </c:pt>
                <c:pt idx="25">
                  <c:v>9737</c:v>
                </c:pt>
                <c:pt idx="26">
                  <c:v>5839</c:v>
                </c:pt>
                <c:pt idx="27">
                  <c:v>1016</c:v>
                </c:pt>
                <c:pt idx="28">
                  <c:v>9616</c:v>
                </c:pt>
                <c:pt idx="29">
                  <c:v>8743</c:v>
                </c:pt>
                <c:pt idx="30">
                  <c:v>18556</c:v>
                </c:pt>
                <c:pt idx="31">
                  <c:v>9980</c:v>
                </c:pt>
                <c:pt idx="32">
                  <c:v>7869</c:v>
                </c:pt>
                <c:pt idx="33">
                  <c:v>0</c:v>
                </c:pt>
                <c:pt idx="34">
                  <c:v>8083</c:v>
                </c:pt>
                <c:pt idx="35">
                  <c:v>0</c:v>
                </c:pt>
                <c:pt idx="36">
                  <c:v>13799</c:v>
                </c:pt>
                <c:pt idx="37">
                  <c:v>5531</c:v>
                </c:pt>
                <c:pt idx="38">
                  <c:v>0</c:v>
                </c:pt>
                <c:pt idx="39">
                  <c:v>8504</c:v>
                </c:pt>
                <c:pt idx="40">
                  <c:v>2827</c:v>
                </c:pt>
                <c:pt idx="41">
                  <c:v>21174</c:v>
                </c:pt>
                <c:pt idx="42">
                  <c:v>22600</c:v>
                </c:pt>
                <c:pt idx="43">
                  <c:v>1780</c:v>
                </c:pt>
                <c:pt idx="44">
                  <c:v>4983</c:v>
                </c:pt>
                <c:pt idx="45">
                  <c:v>27882</c:v>
                </c:pt>
                <c:pt idx="46">
                  <c:v>0</c:v>
                </c:pt>
                <c:pt idx="47">
                  <c:v>1685</c:v>
                </c:pt>
                <c:pt idx="48">
                  <c:v>3294</c:v>
                </c:pt>
                <c:pt idx="49">
                  <c:v>9466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8F-4C43-B1E9-5AE39DF710B8}"/>
            </c:ext>
          </c:extLst>
        </c:ser>
        <c:ser>
          <c:idx val="2"/>
          <c:order val="2"/>
          <c:tx>
            <c:strRef>
              <c:f>'Task6_ Follower_Retention_Loyal'!$T$3:$T$4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'Task6_ Follower_Retention_Loyal'!$Q$5:$Q$54</c:f>
              <c:strCache>
                <c:ptCount val="50"/>
                <c:pt idx="0">
                  <c:v>6/3/2024</c:v>
                </c:pt>
                <c:pt idx="1">
                  <c:v>6/10/2024</c:v>
                </c:pt>
                <c:pt idx="2">
                  <c:v>6/17/2024</c:v>
                </c:pt>
                <c:pt idx="3">
                  <c:v>6/24/2024</c:v>
                </c:pt>
                <c:pt idx="4">
                  <c:v>7/1/2024</c:v>
                </c:pt>
                <c:pt idx="5">
                  <c:v>7/8/2024</c:v>
                </c:pt>
                <c:pt idx="6">
                  <c:v>7/15/2024</c:v>
                </c:pt>
                <c:pt idx="7">
                  <c:v>7/22/2024</c:v>
                </c:pt>
                <c:pt idx="8">
                  <c:v>7/29/2024</c:v>
                </c:pt>
                <c:pt idx="9">
                  <c:v>8/5/2024</c:v>
                </c:pt>
                <c:pt idx="10">
                  <c:v>8/12/2024</c:v>
                </c:pt>
                <c:pt idx="11">
                  <c:v>8/19/2024</c:v>
                </c:pt>
                <c:pt idx="12">
                  <c:v>8/26/2024</c:v>
                </c:pt>
                <c:pt idx="13">
                  <c:v>9/2/2024</c:v>
                </c:pt>
                <c:pt idx="14">
                  <c:v>9/9/2024</c:v>
                </c:pt>
                <c:pt idx="15">
                  <c:v>9/16/2024</c:v>
                </c:pt>
                <c:pt idx="16">
                  <c:v>9/23/2024</c:v>
                </c:pt>
                <c:pt idx="17">
                  <c:v>9/30/2024</c:v>
                </c:pt>
                <c:pt idx="18">
                  <c:v>10/7/2024</c:v>
                </c:pt>
                <c:pt idx="19">
                  <c:v>10/14/2024</c:v>
                </c:pt>
                <c:pt idx="20">
                  <c:v>10/21/2024</c:v>
                </c:pt>
                <c:pt idx="21">
                  <c:v>10/28/2024</c:v>
                </c:pt>
                <c:pt idx="22">
                  <c:v>11/4/2024</c:v>
                </c:pt>
                <c:pt idx="23">
                  <c:v>11/11/2024</c:v>
                </c:pt>
                <c:pt idx="24">
                  <c:v>11/18/2024</c:v>
                </c:pt>
                <c:pt idx="25">
                  <c:v>11/25/2024</c:v>
                </c:pt>
                <c:pt idx="26">
                  <c:v>12/2/2024</c:v>
                </c:pt>
                <c:pt idx="27">
                  <c:v>12/9/2024</c:v>
                </c:pt>
                <c:pt idx="28">
                  <c:v>12/16/2024</c:v>
                </c:pt>
                <c:pt idx="29">
                  <c:v>12/23/2024</c:v>
                </c:pt>
                <c:pt idx="30">
                  <c:v>12/30/2024</c:v>
                </c:pt>
                <c:pt idx="31">
                  <c:v>1/6/2025</c:v>
                </c:pt>
                <c:pt idx="32">
                  <c:v>1/13/2025</c:v>
                </c:pt>
                <c:pt idx="33">
                  <c:v>1/20/2025</c:v>
                </c:pt>
                <c:pt idx="34">
                  <c:v>1/27/2025</c:v>
                </c:pt>
                <c:pt idx="35">
                  <c:v>2/3/2025</c:v>
                </c:pt>
                <c:pt idx="36">
                  <c:v>2/10/2025</c:v>
                </c:pt>
                <c:pt idx="37">
                  <c:v>2/17/2025</c:v>
                </c:pt>
                <c:pt idx="38">
                  <c:v>2/24/2025</c:v>
                </c:pt>
                <c:pt idx="39">
                  <c:v>3/3/2025</c:v>
                </c:pt>
                <c:pt idx="40">
                  <c:v>3/10/2025</c:v>
                </c:pt>
                <c:pt idx="41">
                  <c:v>3/17/2025</c:v>
                </c:pt>
                <c:pt idx="42">
                  <c:v>3/24/2025</c:v>
                </c:pt>
                <c:pt idx="43">
                  <c:v>3/31/2025</c:v>
                </c:pt>
                <c:pt idx="44">
                  <c:v>4/7/2025</c:v>
                </c:pt>
                <c:pt idx="45">
                  <c:v>4/14/2025</c:v>
                </c:pt>
                <c:pt idx="46">
                  <c:v>4/21/2025</c:v>
                </c:pt>
                <c:pt idx="47">
                  <c:v>4/28/2025</c:v>
                </c:pt>
                <c:pt idx="48">
                  <c:v>5/5/2025</c:v>
                </c:pt>
                <c:pt idx="49">
                  <c:v>5/12/2025</c:v>
                </c:pt>
              </c:strCache>
            </c:strRef>
          </c:cat>
          <c:val>
            <c:numRef>
              <c:f>'Task6_ Follower_Retention_Loyal'!$T$5:$T$54</c:f>
              <c:numCache>
                <c:formatCode>General</c:formatCode>
                <c:ptCount val="50"/>
                <c:pt idx="0">
                  <c:v>8693</c:v>
                </c:pt>
                <c:pt idx="1">
                  <c:v>9203</c:v>
                </c:pt>
                <c:pt idx="2">
                  <c:v>6907</c:v>
                </c:pt>
                <c:pt idx="3">
                  <c:v>16885</c:v>
                </c:pt>
                <c:pt idx="4">
                  <c:v>9429</c:v>
                </c:pt>
                <c:pt idx="5">
                  <c:v>8045</c:v>
                </c:pt>
                <c:pt idx="6">
                  <c:v>8137</c:v>
                </c:pt>
                <c:pt idx="7">
                  <c:v>8179</c:v>
                </c:pt>
                <c:pt idx="8">
                  <c:v>6947</c:v>
                </c:pt>
                <c:pt idx="9">
                  <c:v>3719</c:v>
                </c:pt>
                <c:pt idx="10">
                  <c:v>14333</c:v>
                </c:pt>
                <c:pt idx="11">
                  <c:v>0</c:v>
                </c:pt>
                <c:pt idx="12">
                  <c:v>6175</c:v>
                </c:pt>
                <c:pt idx="13">
                  <c:v>7406</c:v>
                </c:pt>
                <c:pt idx="14">
                  <c:v>0</c:v>
                </c:pt>
                <c:pt idx="15">
                  <c:v>4292</c:v>
                </c:pt>
                <c:pt idx="16">
                  <c:v>5517</c:v>
                </c:pt>
                <c:pt idx="17">
                  <c:v>9737</c:v>
                </c:pt>
                <c:pt idx="18">
                  <c:v>0</c:v>
                </c:pt>
                <c:pt idx="19">
                  <c:v>18028</c:v>
                </c:pt>
                <c:pt idx="20">
                  <c:v>0</c:v>
                </c:pt>
                <c:pt idx="21">
                  <c:v>0</c:v>
                </c:pt>
                <c:pt idx="22">
                  <c:v>10051</c:v>
                </c:pt>
                <c:pt idx="23">
                  <c:v>10819</c:v>
                </c:pt>
                <c:pt idx="24">
                  <c:v>7036</c:v>
                </c:pt>
                <c:pt idx="25">
                  <c:v>0</c:v>
                </c:pt>
                <c:pt idx="26">
                  <c:v>0</c:v>
                </c:pt>
                <c:pt idx="27">
                  <c:v>7164</c:v>
                </c:pt>
                <c:pt idx="28">
                  <c:v>7272</c:v>
                </c:pt>
                <c:pt idx="29">
                  <c:v>0</c:v>
                </c:pt>
                <c:pt idx="30">
                  <c:v>3279</c:v>
                </c:pt>
                <c:pt idx="31">
                  <c:v>10226</c:v>
                </c:pt>
                <c:pt idx="32">
                  <c:v>8088</c:v>
                </c:pt>
                <c:pt idx="33">
                  <c:v>22105</c:v>
                </c:pt>
                <c:pt idx="34">
                  <c:v>13170</c:v>
                </c:pt>
                <c:pt idx="35">
                  <c:v>17438</c:v>
                </c:pt>
                <c:pt idx="36">
                  <c:v>1147</c:v>
                </c:pt>
                <c:pt idx="37">
                  <c:v>1365</c:v>
                </c:pt>
                <c:pt idx="38">
                  <c:v>0</c:v>
                </c:pt>
                <c:pt idx="39">
                  <c:v>7085</c:v>
                </c:pt>
                <c:pt idx="40">
                  <c:v>9551</c:v>
                </c:pt>
                <c:pt idx="41">
                  <c:v>0</c:v>
                </c:pt>
                <c:pt idx="42">
                  <c:v>0</c:v>
                </c:pt>
                <c:pt idx="43">
                  <c:v>6978</c:v>
                </c:pt>
                <c:pt idx="44">
                  <c:v>9714</c:v>
                </c:pt>
                <c:pt idx="45">
                  <c:v>0</c:v>
                </c:pt>
                <c:pt idx="46">
                  <c:v>8128</c:v>
                </c:pt>
                <c:pt idx="47">
                  <c:v>17532</c:v>
                </c:pt>
                <c:pt idx="48">
                  <c:v>0</c:v>
                </c:pt>
                <c:pt idx="49">
                  <c:v>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F-4C43-B1E9-5AE39DF710B8}"/>
            </c:ext>
          </c:extLst>
        </c:ser>
        <c:ser>
          <c:idx val="3"/>
          <c:order val="3"/>
          <c:tx>
            <c:strRef>
              <c:f>'Task6_ Follower_Retention_Loyal'!$U$3:$U$4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'Task6_ Follower_Retention_Loyal'!$Q$5:$Q$54</c:f>
              <c:strCache>
                <c:ptCount val="50"/>
                <c:pt idx="0">
                  <c:v>6/3/2024</c:v>
                </c:pt>
                <c:pt idx="1">
                  <c:v>6/10/2024</c:v>
                </c:pt>
                <c:pt idx="2">
                  <c:v>6/17/2024</c:v>
                </c:pt>
                <c:pt idx="3">
                  <c:v>6/24/2024</c:v>
                </c:pt>
                <c:pt idx="4">
                  <c:v>7/1/2024</c:v>
                </c:pt>
                <c:pt idx="5">
                  <c:v>7/8/2024</c:v>
                </c:pt>
                <c:pt idx="6">
                  <c:v>7/15/2024</c:v>
                </c:pt>
                <c:pt idx="7">
                  <c:v>7/22/2024</c:v>
                </c:pt>
                <c:pt idx="8">
                  <c:v>7/29/2024</c:v>
                </c:pt>
                <c:pt idx="9">
                  <c:v>8/5/2024</c:v>
                </c:pt>
                <c:pt idx="10">
                  <c:v>8/12/2024</c:v>
                </c:pt>
                <c:pt idx="11">
                  <c:v>8/19/2024</c:v>
                </c:pt>
                <c:pt idx="12">
                  <c:v>8/26/2024</c:v>
                </c:pt>
                <c:pt idx="13">
                  <c:v>9/2/2024</c:v>
                </c:pt>
                <c:pt idx="14">
                  <c:v>9/9/2024</c:v>
                </c:pt>
                <c:pt idx="15">
                  <c:v>9/16/2024</c:v>
                </c:pt>
                <c:pt idx="16">
                  <c:v>9/23/2024</c:v>
                </c:pt>
                <c:pt idx="17">
                  <c:v>9/30/2024</c:v>
                </c:pt>
                <c:pt idx="18">
                  <c:v>10/7/2024</c:v>
                </c:pt>
                <c:pt idx="19">
                  <c:v>10/14/2024</c:v>
                </c:pt>
                <c:pt idx="20">
                  <c:v>10/21/2024</c:v>
                </c:pt>
                <c:pt idx="21">
                  <c:v>10/28/2024</c:v>
                </c:pt>
                <c:pt idx="22">
                  <c:v>11/4/2024</c:v>
                </c:pt>
                <c:pt idx="23">
                  <c:v>11/11/2024</c:v>
                </c:pt>
                <c:pt idx="24">
                  <c:v>11/18/2024</c:v>
                </c:pt>
                <c:pt idx="25">
                  <c:v>11/25/2024</c:v>
                </c:pt>
                <c:pt idx="26">
                  <c:v>12/2/2024</c:v>
                </c:pt>
                <c:pt idx="27">
                  <c:v>12/9/2024</c:v>
                </c:pt>
                <c:pt idx="28">
                  <c:v>12/16/2024</c:v>
                </c:pt>
                <c:pt idx="29">
                  <c:v>12/23/2024</c:v>
                </c:pt>
                <c:pt idx="30">
                  <c:v>12/30/2024</c:v>
                </c:pt>
                <c:pt idx="31">
                  <c:v>1/6/2025</c:v>
                </c:pt>
                <c:pt idx="32">
                  <c:v>1/13/2025</c:v>
                </c:pt>
                <c:pt idx="33">
                  <c:v>1/20/2025</c:v>
                </c:pt>
                <c:pt idx="34">
                  <c:v>1/27/2025</c:v>
                </c:pt>
                <c:pt idx="35">
                  <c:v>2/3/2025</c:v>
                </c:pt>
                <c:pt idx="36">
                  <c:v>2/10/2025</c:v>
                </c:pt>
                <c:pt idx="37">
                  <c:v>2/17/2025</c:v>
                </c:pt>
                <c:pt idx="38">
                  <c:v>2/24/2025</c:v>
                </c:pt>
                <c:pt idx="39">
                  <c:v>3/3/2025</c:v>
                </c:pt>
                <c:pt idx="40">
                  <c:v>3/10/2025</c:v>
                </c:pt>
                <c:pt idx="41">
                  <c:v>3/17/2025</c:v>
                </c:pt>
                <c:pt idx="42">
                  <c:v>3/24/2025</c:v>
                </c:pt>
                <c:pt idx="43">
                  <c:v>3/31/2025</c:v>
                </c:pt>
                <c:pt idx="44">
                  <c:v>4/7/2025</c:v>
                </c:pt>
                <c:pt idx="45">
                  <c:v>4/14/2025</c:v>
                </c:pt>
                <c:pt idx="46">
                  <c:v>4/21/2025</c:v>
                </c:pt>
                <c:pt idx="47">
                  <c:v>4/28/2025</c:v>
                </c:pt>
                <c:pt idx="48">
                  <c:v>5/5/2025</c:v>
                </c:pt>
                <c:pt idx="49">
                  <c:v>5/12/2025</c:v>
                </c:pt>
              </c:strCache>
            </c:strRef>
          </c:cat>
          <c:val>
            <c:numRef>
              <c:f>'Task6_ Follower_Retention_Loyal'!$U$5:$U$54</c:f>
              <c:numCache>
                <c:formatCode>General</c:formatCode>
                <c:ptCount val="50"/>
                <c:pt idx="0">
                  <c:v>18106</c:v>
                </c:pt>
                <c:pt idx="1">
                  <c:v>8002</c:v>
                </c:pt>
                <c:pt idx="2">
                  <c:v>0</c:v>
                </c:pt>
                <c:pt idx="3">
                  <c:v>9286</c:v>
                </c:pt>
                <c:pt idx="4">
                  <c:v>0</c:v>
                </c:pt>
                <c:pt idx="5">
                  <c:v>0</c:v>
                </c:pt>
                <c:pt idx="6">
                  <c:v>1963</c:v>
                </c:pt>
                <c:pt idx="7">
                  <c:v>9734</c:v>
                </c:pt>
                <c:pt idx="8">
                  <c:v>4036</c:v>
                </c:pt>
                <c:pt idx="9">
                  <c:v>2884</c:v>
                </c:pt>
                <c:pt idx="10">
                  <c:v>7430</c:v>
                </c:pt>
                <c:pt idx="11">
                  <c:v>10587</c:v>
                </c:pt>
                <c:pt idx="12">
                  <c:v>6078</c:v>
                </c:pt>
                <c:pt idx="13">
                  <c:v>0</c:v>
                </c:pt>
                <c:pt idx="14">
                  <c:v>12438</c:v>
                </c:pt>
                <c:pt idx="15">
                  <c:v>10331</c:v>
                </c:pt>
                <c:pt idx="16">
                  <c:v>0</c:v>
                </c:pt>
                <c:pt idx="17">
                  <c:v>0</c:v>
                </c:pt>
                <c:pt idx="18">
                  <c:v>11856</c:v>
                </c:pt>
                <c:pt idx="19">
                  <c:v>7548</c:v>
                </c:pt>
                <c:pt idx="20">
                  <c:v>7793</c:v>
                </c:pt>
                <c:pt idx="21">
                  <c:v>13549</c:v>
                </c:pt>
                <c:pt idx="22">
                  <c:v>3385</c:v>
                </c:pt>
                <c:pt idx="23">
                  <c:v>5795</c:v>
                </c:pt>
                <c:pt idx="24">
                  <c:v>0</c:v>
                </c:pt>
                <c:pt idx="25">
                  <c:v>5719</c:v>
                </c:pt>
                <c:pt idx="26">
                  <c:v>4493</c:v>
                </c:pt>
                <c:pt idx="27">
                  <c:v>5200</c:v>
                </c:pt>
                <c:pt idx="28">
                  <c:v>0</c:v>
                </c:pt>
                <c:pt idx="29">
                  <c:v>8177</c:v>
                </c:pt>
                <c:pt idx="30">
                  <c:v>0</c:v>
                </c:pt>
                <c:pt idx="31">
                  <c:v>9906</c:v>
                </c:pt>
                <c:pt idx="32">
                  <c:v>1078</c:v>
                </c:pt>
                <c:pt idx="33">
                  <c:v>8340</c:v>
                </c:pt>
                <c:pt idx="34">
                  <c:v>0</c:v>
                </c:pt>
                <c:pt idx="35">
                  <c:v>14055</c:v>
                </c:pt>
                <c:pt idx="36">
                  <c:v>0</c:v>
                </c:pt>
                <c:pt idx="37">
                  <c:v>0</c:v>
                </c:pt>
                <c:pt idx="38">
                  <c:v>17457</c:v>
                </c:pt>
                <c:pt idx="39">
                  <c:v>7511</c:v>
                </c:pt>
                <c:pt idx="40">
                  <c:v>4009</c:v>
                </c:pt>
                <c:pt idx="41">
                  <c:v>0</c:v>
                </c:pt>
                <c:pt idx="42">
                  <c:v>4747</c:v>
                </c:pt>
                <c:pt idx="43">
                  <c:v>1769</c:v>
                </c:pt>
                <c:pt idx="44">
                  <c:v>7303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5875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8F-4C43-B1E9-5AE39DF71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106336"/>
        <c:axId val="1603104896"/>
      </c:lineChart>
      <c:catAx>
        <c:axId val="160310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04896"/>
        <c:crosses val="autoZero"/>
        <c:auto val="1"/>
        <c:lblAlgn val="ctr"/>
        <c:lblOffset val="100"/>
        <c:noMultiLvlLbl val="0"/>
      </c:catAx>
      <c:valAx>
        <c:axId val="16031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0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</a:t>
            </a:r>
            <a:r>
              <a:rPr lang="en-US" baseline="0"/>
              <a:t> </a:t>
            </a:r>
            <a:r>
              <a:rPr lang="en-US"/>
              <a:t>Spend vs Follower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21946295174641"/>
          <c:y val="0.15564228629474944"/>
          <c:w val="0.83319685039370084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'Engagement Summary '!$G$1</c:f>
              <c:strCache>
                <c:ptCount val="1"/>
                <c:pt idx="0">
                  <c:v>Ad_Spend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'Engagement Summary '!$G$2:$G$201</c:f>
              <c:numCache>
                <c:formatCode>General</c:formatCode>
                <c:ptCount val="200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59745</c:v>
                </c:pt>
                <c:pt idx="50">
                  <c:v>24226</c:v>
                </c:pt>
                <c:pt idx="51">
                  <c:v>38731</c:v>
                </c:pt>
                <c:pt idx="52">
                  <c:v>53922</c:v>
                </c:pt>
                <c:pt idx="53">
                  <c:v>54848</c:v>
                </c:pt>
                <c:pt idx="54">
                  <c:v>13390</c:v>
                </c:pt>
                <c:pt idx="55">
                  <c:v>15997</c:v>
                </c:pt>
                <c:pt idx="56">
                  <c:v>22693</c:v>
                </c:pt>
                <c:pt idx="57">
                  <c:v>59815</c:v>
                </c:pt>
                <c:pt idx="58">
                  <c:v>52092</c:v>
                </c:pt>
                <c:pt idx="59">
                  <c:v>10541</c:v>
                </c:pt>
                <c:pt idx="60">
                  <c:v>31817</c:v>
                </c:pt>
                <c:pt idx="61">
                  <c:v>47861</c:v>
                </c:pt>
                <c:pt idx="62">
                  <c:v>23428</c:v>
                </c:pt>
                <c:pt idx="63">
                  <c:v>53934</c:v>
                </c:pt>
                <c:pt idx="64">
                  <c:v>58831</c:v>
                </c:pt>
                <c:pt idx="65">
                  <c:v>20258</c:v>
                </c:pt>
                <c:pt idx="66">
                  <c:v>26044</c:v>
                </c:pt>
                <c:pt idx="67">
                  <c:v>39411</c:v>
                </c:pt>
                <c:pt idx="68">
                  <c:v>15469</c:v>
                </c:pt>
                <c:pt idx="69">
                  <c:v>38854</c:v>
                </c:pt>
                <c:pt idx="70">
                  <c:v>16256</c:v>
                </c:pt>
                <c:pt idx="71">
                  <c:v>20720</c:v>
                </c:pt>
                <c:pt idx="72">
                  <c:v>43937</c:v>
                </c:pt>
                <c:pt idx="73">
                  <c:v>43598</c:v>
                </c:pt>
                <c:pt idx="74">
                  <c:v>11651</c:v>
                </c:pt>
                <c:pt idx="75">
                  <c:v>29194</c:v>
                </c:pt>
                <c:pt idx="76">
                  <c:v>35051</c:v>
                </c:pt>
                <c:pt idx="77">
                  <c:v>37386</c:v>
                </c:pt>
                <c:pt idx="78">
                  <c:v>19518</c:v>
                </c:pt>
                <c:pt idx="79">
                  <c:v>56026</c:v>
                </c:pt>
                <c:pt idx="80">
                  <c:v>26184</c:v>
                </c:pt>
                <c:pt idx="81">
                  <c:v>43787</c:v>
                </c:pt>
                <c:pt idx="82">
                  <c:v>31621</c:v>
                </c:pt>
                <c:pt idx="83">
                  <c:v>20028</c:v>
                </c:pt>
                <c:pt idx="84">
                  <c:v>22448</c:v>
                </c:pt>
                <c:pt idx="85">
                  <c:v>55253</c:v>
                </c:pt>
                <c:pt idx="86">
                  <c:v>44051</c:v>
                </c:pt>
                <c:pt idx="87">
                  <c:v>59811</c:v>
                </c:pt>
                <c:pt idx="88">
                  <c:v>40447</c:v>
                </c:pt>
                <c:pt idx="89">
                  <c:v>28394</c:v>
                </c:pt>
                <c:pt idx="90">
                  <c:v>44501</c:v>
                </c:pt>
                <c:pt idx="91">
                  <c:v>40254</c:v>
                </c:pt>
                <c:pt idx="92">
                  <c:v>28509</c:v>
                </c:pt>
                <c:pt idx="93">
                  <c:v>58998</c:v>
                </c:pt>
                <c:pt idx="94">
                  <c:v>24472</c:v>
                </c:pt>
                <c:pt idx="95">
                  <c:v>55657</c:v>
                </c:pt>
                <c:pt idx="96">
                  <c:v>13471</c:v>
                </c:pt>
                <c:pt idx="97">
                  <c:v>51796</c:v>
                </c:pt>
                <c:pt idx="98">
                  <c:v>40268</c:v>
                </c:pt>
                <c:pt idx="99">
                  <c:v>18329</c:v>
                </c:pt>
                <c:pt idx="100">
                  <c:v>44865</c:v>
                </c:pt>
                <c:pt idx="101">
                  <c:v>56850</c:v>
                </c:pt>
                <c:pt idx="102">
                  <c:v>56698</c:v>
                </c:pt>
                <c:pt idx="103">
                  <c:v>38272</c:v>
                </c:pt>
                <c:pt idx="104">
                  <c:v>52845</c:v>
                </c:pt>
                <c:pt idx="105">
                  <c:v>16397</c:v>
                </c:pt>
                <c:pt idx="106">
                  <c:v>42373</c:v>
                </c:pt>
                <c:pt idx="107">
                  <c:v>45525</c:v>
                </c:pt>
                <c:pt idx="108">
                  <c:v>34570</c:v>
                </c:pt>
                <c:pt idx="109">
                  <c:v>28284</c:v>
                </c:pt>
                <c:pt idx="110">
                  <c:v>28994</c:v>
                </c:pt>
                <c:pt idx="111">
                  <c:v>33284</c:v>
                </c:pt>
                <c:pt idx="112">
                  <c:v>27833</c:v>
                </c:pt>
                <c:pt idx="113">
                  <c:v>35122</c:v>
                </c:pt>
                <c:pt idx="114">
                  <c:v>15017</c:v>
                </c:pt>
                <c:pt idx="115">
                  <c:v>26370</c:v>
                </c:pt>
                <c:pt idx="116">
                  <c:v>39252</c:v>
                </c:pt>
                <c:pt idx="117">
                  <c:v>17999</c:v>
                </c:pt>
                <c:pt idx="118">
                  <c:v>32436</c:v>
                </c:pt>
                <c:pt idx="119">
                  <c:v>52963</c:v>
                </c:pt>
                <c:pt idx="120">
                  <c:v>12096</c:v>
                </c:pt>
                <c:pt idx="121">
                  <c:v>58201</c:v>
                </c:pt>
                <c:pt idx="122">
                  <c:v>35279</c:v>
                </c:pt>
                <c:pt idx="123">
                  <c:v>53363</c:v>
                </c:pt>
                <c:pt idx="124">
                  <c:v>58709</c:v>
                </c:pt>
                <c:pt idx="125">
                  <c:v>36201</c:v>
                </c:pt>
                <c:pt idx="126">
                  <c:v>29715</c:v>
                </c:pt>
                <c:pt idx="127">
                  <c:v>39309</c:v>
                </c:pt>
                <c:pt idx="128">
                  <c:v>25078</c:v>
                </c:pt>
                <c:pt idx="129">
                  <c:v>15105</c:v>
                </c:pt>
                <c:pt idx="130">
                  <c:v>39312</c:v>
                </c:pt>
                <c:pt idx="131">
                  <c:v>12839</c:v>
                </c:pt>
                <c:pt idx="132">
                  <c:v>13384</c:v>
                </c:pt>
                <c:pt idx="133">
                  <c:v>53619</c:v>
                </c:pt>
                <c:pt idx="134">
                  <c:v>52821</c:v>
                </c:pt>
                <c:pt idx="135">
                  <c:v>23493</c:v>
                </c:pt>
                <c:pt idx="136">
                  <c:v>27069</c:v>
                </c:pt>
                <c:pt idx="137">
                  <c:v>56907</c:v>
                </c:pt>
                <c:pt idx="138">
                  <c:v>17531</c:v>
                </c:pt>
                <c:pt idx="139">
                  <c:v>47051</c:v>
                </c:pt>
                <c:pt idx="140">
                  <c:v>17736</c:v>
                </c:pt>
                <c:pt idx="141">
                  <c:v>17710</c:v>
                </c:pt>
                <c:pt idx="142">
                  <c:v>11619</c:v>
                </c:pt>
                <c:pt idx="143">
                  <c:v>23975</c:v>
                </c:pt>
                <c:pt idx="144">
                  <c:v>55603</c:v>
                </c:pt>
                <c:pt idx="145">
                  <c:v>33252</c:v>
                </c:pt>
                <c:pt idx="146">
                  <c:v>25261</c:v>
                </c:pt>
                <c:pt idx="147">
                  <c:v>11431</c:v>
                </c:pt>
                <c:pt idx="148">
                  <c:v>19067</c:v>
                </c:pt>
                <c:pt idx="149">
                  <c:v>47481</c:v>
                </c:pt>
                <c:pt idx="150">
                  <c:v>37037</c:v>
                </c:pt>
                <c:pt idx="151">
                  <c:v>19557</c:v>
                </c:pt>
                <c:pt idx="152">
                  <c:v>19435</c:v>
                </c:pt>
                <c:pt idx="153">
                  <c:v>47766</c:v>
                </c:pt>
                <c:pt idx="154">
                  <c:v>10162</c:v>
                </c:pt>
                <c:pt idx="155">
                  <c:v>44742</c:v>
                </c:pt>
                <c:pt idx="156">
                  <c:v>29675</c:v>
                </c:pt>
                <c:pt idx="157">
                  <c:v>18461</c:v>
                </c:pt>
                <c:pt idx="158">
                  <c:v>27015</c:v>
                </c:pt>
                <c:pt idx="159">
                  <c:v>42591</c:v>
                </c:pt>
                <c:pt idx="160">
                  <c:v>38047</c:v>
                </c:pt>
                <c:pt idx="161">
                  <c:v>44782</c:v>
                </c:pt>
                <c:pt idx="162">
                  <c:v>19833</c:v>
                </c:pt>
                <c:pt idx="163">
                  <c:v>17896</c:v>
                </c:pt>
                <c:pt idx="164">
                  <c:v>42972</c:v>
                </c:pt>
                <c:pt idx="165">
                  <c:v>59733</c:v>
                </c:pt>
                <c:pt idx="166">
                  <c:v>51800</c:v>
                </c:pt>
                <c:pt idx="167">
                  <c:v>40508</c:v>
                </c:pt>
                <c:pt idx="168">
                  <c:v>15347</c:v>
                </c:pt>
                <c:pt idx="169">
                  <c:v>40314</c:v>
                </c:pt>
                <c:pt idx="170">
                  <c:v>12643</c:v>
                </c:pt>
                <c:pt idx="171">
                  <c:v>50785</c:v>
                </c:pt>
                <c:pt idx="172">
                  <c:v>28681</c:v>
                </c:pt>
                <c:pt idx="173">
                  <c:v>48328</c:v>
                </c:pt>
                <c:pt idx="174">
                  <c:v>25892</c:v>
                </c:pt>
                <c:pt idx="175">
                  <c:v>57299</c:v>
                </c:pt>
                <c:pt idx="176">
                  <c:v>27073</c:v>
                </c:pt>
                <c:pt idx="177">
                  <c:v>46768</c:v>
                </c:pt>
                <c:pt idx="178">
                  <c:v>40682</c:v>
                </c:pt>
                <c:pt idx="179">
                  <c:v>42262</c:v>
                </c:pt>
                <c:pt idx="180">
                  <c:v>41358</c:v>
                </c:pt>
                <c:pt idx="181">
                  <c:v>24289</c:v>
                </c:pt>
                <c:pt idx="182">
                  <c:v>59823</c:v>
                </c:pt>
                <c:pt idx="183">
                  <c:v>17927</c:v>
                </c:pt>
                <c:pt idx="184">
                  <c:v>58330</c:v>
                </c:pt>
                <c:pt idx="185">
                  <c:v>11171</c:v>
                </c:pt>
                <c:pt idx="186">
                  <c:v>21918</c:v>
                </c:pt>
                <c:pt idx="187">
                  <c:v>51903</c:v>
                </c:pt>
                <c:pt idx="188">
                  <c:v>49110</c:v>
                </c:pt>
                <c:pt idx="189">
                  <c:v>21929</c:v>
                </c:pt>
                <c:pt idx="190">
                  <c:v>12539</c:v>
                </c:pt>
                <c:pt idx="191">
                  <c:v>46727</c:v>
                </c:pt>
                <c:pt idx="192">
                  <c:v>55951</c:v>
                </c:pt>
                <c:pt idx="193">
                  <c:v>32669</c:v>
                </c:pt>
                <c:pt idx="194">
                  <c:v>15432</c:v>
                </c:pt>
                <c:pt idx="195">
                  <c:v>30644</c:v>
                </c:pt>
                <c:pt idx="196">
                  <c:v>28745</c:v>
                </c:pt>
                <c:pt idx="197">
                  <c:v>38228</c:v>
                </c:pt>
                <c:pt idx="198">
                  <c:v>44521</c:v>
                </c:pt>
                <c:pt idx="199">
                  <c:v>41703</c:v>
                </c:pt>
              </c:numCache>
            </c:numRef>
          </c:xVal>
          <c:yVal>
            <c:numRef>
              <c:f>'Engagement Summary '!$C$2:$C$201</c:f>
              <c:numCache>
                <c:formatCode>General</c:formatCode>
                <c:ptCount val="200"/>
                <c:pt idx="0">
                  <c:v>4138</c:v>
                </c:pt>
                <c:pt idx="1">
                  <c:v>8693</c:v>
                </c:pt>
                <c:pt idx="2">
                  <c:v>9264</c:v>
                </c:pt>
                <c:pt idx="3">
                  <c:v>8842</c:v>
                </c:pt>
                <c:pt idx="4">
                  <c:v>7721</c:v>
                </c:pt>
                <c:pt idx="5">
                  <c:v>8002</c:v>
                </c:pt>
                <c:pt idx="6">
                  <c:v>5225</c:v>
                </c:pt>
                <c:pt idx="7">
                  <c:v>3978</c:v>
                </c:pt>
                <c:pt idx="8">
                  <c:v>8373</c:v>
                </c:pt>
                <c:pt idx="9">
                  <c:v>6907</c:v>
                </c:pt>
                <c:pt idx="10">
                  <c:v>7097</c:v>
                </c:pt>
                <c:pt idx="11">
                  <c:v>6656</c:v>
                </c:pt>
                <c:pt idx="12">
                  <c:v>9984</c:v>
                </c:pt>
                <c:pt idx="13">
                  <c:v>5259</c:v>
                </c:pt>
                <c:pt idx="14">
                  <c:v>9286</c:v>
                </c:pt>
                <c:pt idx="15">
                  <c:v>6901</c:v>
                </c:pt>
                <c:pt idx="16">
                  <c:v>5917</c:v>
                </c:pt>
                <c:pt idx="17">
                  <c:v>9429</c:v>
                </c:pt>
                <c:pt idx="18">
                  <c:v>3530</c:v>
                </c:pt>
                <c:pt idx="19">
                  <c:v>2960</c:v>
                </c:pt>
                <c:pt idx="20">
                  <c:v>8045</c:v>
                </c:pt>
                <c:pt idx="21">
                  <c:v>2048</c:v>
                </c:pt>
                <c:pt idx="22">
                  <c:v>6772</c:v>
                </c:pt>
                <c:pt idx="23">
                  <c:v>3529</c:v>
                </c:pt>
                <c:pt idx="24">
                  <c:v>3964</c:v>
                </c:pt>
                <c:pt idx="25">
                  <c:v>8137</c:v>
                </c:pt>
                <c:pt idx="26">
                  <c:v>1963</c:v>
                </c:pt>
                <c:pt idx="27">
                  <c:v>1536</c:v>
                </c:pt>
                <c:pt idx="28">
                  <c:v>8340</c:v>
                </c:pt>
                <c:pt idx="29">
                  <c:v>8179</c:v>
                </c:pt>
                <c:pt idx="30">
                  <c:v>8967</c:v>
                </c:pt>
                <c:pt idx="31">
                  <c:v>9734</c:v>
                </c:pt>
                <c:pt idx="32">
                  <c:v>1845</c:v>
                </c:pt>
                <c:pt idx="33">
                  <c:v>6777</c:v>
                </c:pt>
                <c:pt idx="34">
                  <c:v>4036</c:v>
                </c:pt>
                <c:pt idx="35">
                  <c:v>6947</c:v>
                </c:pt>
                <c:pt idx="36">
                  <c:v>3494</c:v>
                </c:pt>
                <c:pt idx="37">
                  <c:v>3719</c:v>
                </c:pt>
                <c:pt idx="38">
                  <c:v>2884</c:v>
                </c:pt>
                <c:pt idx="39">
                  <c:v>5349</c:v>
                </c:pt>
                <c:pt idx="40">
                  <c:v>6179</c:v>
                </c:pt>
                <c:pt idx="41">
                  <c:v>7610</c:v>
                </c:pt>
                <c:pt idx="42">
                  <c:v>7430</c:v>
                </c:pt>
                <c:pt idx="43">
                  <c:v>8154</c:v>
                </c:pt>
                <c:pt idx="44">
                  <c:v>7488</c:v>
                </c:pt>
                <c:pt idx="45">
                  <c:v>5737</c:v>
                </c:pt>
                <c:pt idx="46">
                  <c:v>7525</c:v>
                </c:pt>
                <c:pt idx="47">
                  <c:v>4850</c:v>
                </c:pt>
                <c:pt idx="48">
                  <c:v>1689</c:v>
                </c:pt>
                <c:pt idx="49">
                  <c:v>6175</c:v>
                </c:pt>
                <c:pt idx="50">
                  <c:v>9648</c:v>
                </c:pt>
                <c:pt idx="51">
                  <c:v>6078</c:v>
                </c:pt>
                <c:pt idx="52">
                  <c:v>6448</c:v>
                </c:pt>
                <c:pt idx="53">
                  <c:v>2179</c:v>
                </c:pt>
                <c:pt idx="54">
                  <c:v>7406</c:v>
                </c:pt>
                <c:pt idx="55">
                  <c:v>9591</c:v>
                </c:pt>
                <c:pt idx="56">
                  <c:v>7907</c:v>
                </c:pt>
                <c:pt idx="57">
                  <c:v>9800</c:v>
                </c:pt>
                <c:pt idx="58">
                  <c:v>2638</c:v>
                </c:pt>
                <c:pt idx="59">
                  <c:v>6671</c:v>
                </c:pt>
                <c:pt idx="60">
                  <c:v>7928</c:v>
                </c:pt>
                <c:pt idx="61">
                  <c:v>2382</c:v>
                </c:pt>
                <c:pt idx="62">
                  <c:v>2403</c:v>
                </c:pt>
                <c:pt idx="63">
                  <c:v>4292</c:v>
                </c:pt>
                <c:pt idx="64">
                  <c:v>1419</c:v>
                </c:pt>
                <c:pt idx="65">
                  <c:v>5517</c:v>
                </c:pt>
                <c:pt idx="66">
                  <c:v>4302</c:v>
                </c:pt>
                <c:pt idx="67">
                  <c:v>8857</c:v>
                </c:pt>
                <c:pt idx="68">
                  <c:v>8870</c:v>
                </c:pt>
                <c:pt idx="69">
                  <c:v>6693</c:v>
                </c:pt>
                <c:pt idx="70">
                  <c:v>1767</c:v>
                </c:pt>
                <c:pt idx="71">
                  <c:v>3044</c:v>
                </c:pt>
                <c:pt idx="72">
                  <c:v>2549</c:v>
                </c:pt>
                <c:pt idx="73">
                  <c:v>7140</c:v>
                </c:pt>
                <c:pt idx="74">
                  <c:v>4716</c:v>
                </c:pt>
                <c:pt idx="75">
                  <c:v>5481</c:v>
                </c:pt>
                <c:pt idx="76">
                  <c:v>8898</c:v>
                </c:pt>
                <c:pt idx="77">
                  <c:v>7548</c:v>
                </c:pt>
                <c:pt idx="78">
                  <c:v>3293</c:v>
                </c:pt>
                <c:pt idx="79">
                  <c:v>5837</c:v>
                </c:pt>
                <c:pt idx="80">
                  <c:v>8758</c:v>
                </c:pt>
                <c:pt idx="81">
                  <c:v>7793</c:v>
                </c:pt>
                <c:pt idx="82">
                  <c:v>8638</c:v>
                </c:pt>
                <c:pt idx="83">
                  <c:v>8993</c:v>
                </c:pt>
                <c:pt idx="84">
                  <c:v>7007</c:v>
                </c:pt>
                <c:pt idx="85">
                  <c:v>6542</c:v>
                </c:pt>
                <c:pt idx="86">
                  <c:v>7356</c:v>
                </c:pt>
                <c:pt idx="87">
                  <c:v>9433</c:v>
                </c:pt>
                <c:pt idx="88">
                  <c:v>8380</c:v>
                </c:pt>
                <c:pt idx="89">
                  <c:v>3385</c:v>
                </c:pt>
                <c:pt idx="90">
                  <c:v>5268</c:v>
                </c:pt>
                <c:pt idx="91">
                  <c:v>1671</c:v>
                </c:pt>
                <c:pt idx="92">
                  <c:v>1163</c:v>
                </c:pt>
                <c:pt idx="93">
                  <c:v>9656</c:v>
                </c:pt>
                <c:pt idx="94">
                  <c:v>5592</c:v>
                </c:pt>
                <c:pt idx="95">
                  <c:v>5795</c:v>
                </c:pt>
                <c:pt idx="96">
                  <c:v>5798</c:v>
                </c:pt>
                <c:pt idx="97">
                  <c:v>7036</c:v>
                </c:pt>
                <c:pt idx="98">
                  <c:v>3355</c:v>
                </c:pt>
                <c:pt idx="99">
                  <c:v>6887</c:v>
                </c:pt>
                <c:pt idx="100">
                  <c:v>8961</c:v>
                </c:pt>
                <c:pt idx="101">
                  <c:v>6827</c:v>
                </c:pt>
                <c:pt idx="102">
                  <c:v>9737</c:v>
                </c:pt>
                <c:pt idx="103">
                  <c:v>5719</c:v>
                </c:pt>
                <c:pt idx="104">
                  <c:v>1593</c:v>
                </c:pt>
                <c:pt idx="105">
                  <c:v>5839</c:v>
                </c:pt>
                <c:pt idx="106">
                  <c:v>8394</c:v>
                </c:pt>
                <c:pt idx="107">
                  <c:v>4493</c:v>
                </c:pt>
                <c:pt idx="108">
                  <c:v>7164</c:v>
                </c:pt>
                <c:pt idx="109">
                  <c:v>3672</c:v>
                </c:pt>
                <c:pt idx="110">
                  <c:v>5200</c:v>
                </c:pt>
                <c:pt idx="111">
                  <c:v>1016</c:v>
                </c:pt>
                <c:pt idx="112">
                  <c:v>4191</c:v>
                </c:pt>
                <c:pt idx="113">
                  <c:v>1392</c:v>
                </c:pt>
                <c:pt idx="114">
                  <c:v>9616</c:v>
                </c:pt>
                <c:pt idx="115">
                  <c:v>7272</c:v>
                </c:pt>
                <c:pt idx="116">
                  <c:v>1571</c:v>
                </c:pt>
                <c:pt idx="117">
                  <c:v>4631</c:v>
                </c:pt>
                <c:pt idx="118">
                  <c:v>7172</c:v>
                </c:pt>
                <c:pt idx="119">
                  <c:v>8177</c:v>
                </c:pt>
                <c:pt idx="120">
                  <c:v>9433</c:v>
                </c:pt>
                <c:pt idx="121">
                  <c:v>4897</c:v>
                </c:pt>
                <c:pt idx="122">
                  <c:v>9123</c:v>
                </c:pt>
                <c:pt idx="123">
                  <c:v>3279</c:v>
                </c:pt>
                <c:pt idx="124">
                  <c:v>9980</c:v>
                </c:pt>
                <c:pt idx="125">
                  <c:v>8451</c:v>
                </c:pt>
                <c:pt idx="126">
                  <c:v>9906</c:v>
                </c:pt>
                <c:pt idx="127">
                  <c:v>1775</c:v>
                </c:pt>
                <c:pt idx="128">
                  <c:v>7869</c:v>
                </c:pt>
                <c:pt idx="129">
                  <c:v>3247</c:v>
                </c:pt>
                <c:pt idx="130">
                  <c:v>8088</c:v>
                </c:pt>
                <c:pt idx="131">
                  <c:v>1078</c:v>
                </c:pt>
                <c:pt idx="132">
                  <c:v>9080</c:v>
                </c:pt>
                <c:pt idx="133">
                  <c:v>8099</c:v>
                </c:pt>
                <c:pt idx="134">
                  <c:v>4926</c:v>
                </c:pt>
                <c:pt idx="135">
                  <c:v>8340</c:v>
                </c:pt>
                <c:pt idx="136">
                  <c:v>8083</c:v>
                </c:pt>
                <c:pt idx="137">
                  <c:v>7230</c:v>
                </c:pt>
                <c:pt idx="138">
                  <c:v>5940</c:v>
                </c:pt>
                <c:pt idx="139">
                  <c:v>4271</c:v>
                </c:pt>
                <c:pt idx="140">
                  <c:v>4456</c:v>
                </c:pt>
                <c:pt idx="141">
                  <c:v>8788</c:v>
                </c:pt>
                <c:pt idx="142">
                  <c:v>9599</c:v>
                </c:pt>
                <c:pt idx="143">
                  <c:v>8650</c:v>
                </c:pt>
                <c:pt idx="144">
                  <c:v>3711</c:v>
                </c:pt>
                <c:pt idx="145">
                  <c:v>2668</c:v>
                </c:pt>
                <c:pt idx="146">
                  <c:v>1147</c:v>
                </c:pt>
                <c:pt idx="147">
                  <c:v>7420</c:v>
                </c:pt>
                <c:pt idx="148">
                  <c:v>1365</c:v>
                </c:pt>
                <c:pt idx="149">
                  <c:v>5531</c:v>
                </c:pt>
                <c:pt idx="150">
                  <c:v>6330</c:v>
                </c:pt>
                <c:pt idx="151">
                  <c:v>6510</c:v>
                </c:pt>
                <c:pt idx="152">
                  <c:v>9754</c:v>
                </c:pt>
                <c:pt idx="153">
                  <c:v>9964</c:v>
                </c:pt>
                <c:pt idx="154">
                  <c:v>7493</c:v>
                </c:pt>
                <c:pt idx="155">
                  <c:v>6439</c:v>
                </c:pt>
                <c:pt idx="156">
                  <c:v>7511</c:v>
                </c:pt>
                <c:pt idx="157">
                  <c:v>8504</c:v>
                </c:pt>
                <c:pt idx="158">
                  <c:v>2246</c:v>
                </c:pt>
                <c:pt idx="159">
                  <c:v>4839</c:v>
                </c:pt>
                <c:pt idx="160">
                  <c:v>9551</c:v>
                </c:pt>
                <c:pt idx="161">
                  <c:v>3376</c:v>
                </c:pt>
                <c:pt idx="162">
                  <c:v>4009</c:v>
                </c:pt>
                <c:pt idx="163">
                  <c:v>2827</c:v>
                </c:pt>
                <c:pt idx="164">
                  <c:v>7979</c:v>
                </c:pt>
                <c:pt idx="165">
                  <c:v>9569</c:v>
                </c:pt>
                <c:pt idx="166">
                  <c:v>5285</c:v>
                </c:pt>
                <c:pt idx="167">
                  <c:v>7910</c:v>
                </c:pt>
                <c:pt idx="168">
                  <c:v>9561</c:v>
                </c:pt>
                <c:pt idx="169">
                  <c:v>3196</c:v>
                </c:pt>
                <c:pt idx="170">
                  <c:v>4747</c:v>
                </c:pt>
                <c:pt idx="171">
                  <c:v>9843</c:v>
                </c:pt>
                <c:pt idx="172">
                  <c:v>6978</c:v>
                </c:pt>
                <c:pt idx="173">
                  <c:v>6607</c:v>
                </c:pt>
                <c:pt idx="174">
                  <c:v>1769</c:v>
                </c:pt>
                <c:pt idx="175">
                  <c:v>1780</c:v>
                </c:pt>
                <c:pt idx="176">
                  <c:v>7303</c:v>
                </c:pt>
                <c:pt idx="177">
                  <c:v>4983</c:v>
                </c:pt>
                <c:pt idx="178">
                  <c:v>9714</c:v>
                </c:pt>
                <c:pt idx="179">
                  <c:v>1521</c:v>
                </c:pt>
                <c:pt idx="180">
                  <c:v>8569</c:v>
                </c:pt>
                <c:pt idx="181">
                  <c:v>6784</c:v>
                </c:pt>
                <c:pt idx="182">
                  <c:v>5583</c:v>
                </c:pt>
                <c:pt idx="183">
                  <c:v>6946</c:v>
                </c:pt>
                <c:pt idx="184">
                  <c:v>5941</c:v>
                </c:pt>
                <c:pt idx="185">
                  <c:v>7267</c:v>
                </c:pt>
                <c:pt idx="186">
                  <c:v>8128</c:v>
                </c:pt>
                <c:pt idx="187">
                  <c:v>3461</c:v>
                </c:pt>
                <c:pt idx="188">
                  <c:v>1685</c:v>
                </c:pt>
                <c:pt idx="189">
                  <c:v>3160</c:v>
                </c:pt>
                <c:pt idx="190">
                  <c:v>8031</c:v>
                </c:pt>
                <c:pt idx="191">
                  <c:v>6341</c:v>
                </c:pt>
                <c:pt idx="192">
                  <c:v>1038</c:v>
                </c:pt>
                <c:pt idx="193">
                  <c:v>5875</c:v>
                </c:pt>
                <c:pt idx="194">
                  <c:v>2256</c:v>
                </c:pt>
                <c:pt idx="195">
                  <c:v>8697</c:v>
                </c:pt>
                <c:pt idx="196">
                  <c:v>3196</c:v>
                </c:pt>
                <c:pt idx="197">
                  <c:v>8165</c:v>
                </c:pt>
                <c:pt idx="198">
                  <c:v>1301</c:v>
                </c:pt>
                <c:pt idx="199">
                  <c:v>8527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E-4D6F-8FBD-A19F26BCF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471072"/>
        <c:axId val="1624472992"/>
      </c:scatterChart>
      <c:valAx>
        <c:axId val="162447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</a:t>
                </a:r>
                <a:r>
                  <a:rPr lang="en-US" baseline="0"/>
                  <a:t>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472992"/>
        <c:crosses val="autoZero"/>
        <c:crossBetween val="midCat"/>
      </c:valAx>
      <c:valAx>
        <c:axId val="16244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New Follower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47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107389</xdr:colOff>
      <xdr:row>1</xdr:row>
      <xdr:rowOff>21723</xdr:rowOff>
    </xdr:from>
    <xdr:ext cx="4350311" cy="134035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7A547CD-26D1-4147-5FCC-09C3265CC8C4}"/>
            </a:ext>
          </a:extLst>
        </xdr:cNvPr>
        <xdr:cNvSpPr/>
      </xdr:nvSpPr>
      <xdr:spPr>
        <a:xfrm>
          <a:off x="13051864" y="212223"/>
          <a:ext cx="4350311" cy="1340352"/>
        </a:xfrm>
        <a:prstGeom prst="rect">
          <a:avLst/>
        </a:prstGeom>
        <a:solidFill>
          <a:schemeClr val="bg2">
            <a:lumMod val="95000"/>
          </a:schemeClr>
        </a:solidFill>
      </xdr:spPr>
      <xdr:txBody>
        <a:bodyPr wrap="none" lIns="91440" tIns="45720" rIns="91440" bIns="45720">
          <a:noAutofit/>
        </a:bodyPr>
        <a:lstStyle/>
        <a:p>
          <a:r>
            <a:rPr lang="en-US" sz="1100">
              <a:effectLst/>
              <a:latin typeface="+mn-lt"/>
              <a:ea typeface="+mn-ea"/>
              <a:cs typeface="+mn-cs"/>
            </a:rPr>
            <a:t>Insights:</a:t>
          </a:r>
          <a:endParaRPr lang="en-US" sz="5400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Dataset successfully cleaned with no major missing or duplicate values.</a:t>
          </a:r>
          <a:endParaRPr lang="en-US" sz="5400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2.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Columns were standardized (dates, engagement metrics, hashtags).</a:t>
          </a:r>
          <a:endParaRPr lang="en-US" sz="5400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3. Data consistency ensured for accurate analysis.</a:t>
          </a:r>
          <a:endParaRPr lang="en-US" sz="5400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4. Prepared dataset enabled smooth pivot table and visualization creation.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5. Hashtag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split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6. Top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10 Apple posts with highest engagement</a:t>
          </a:r>
          <a:endParaRPr lang="en-US" sz="5400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92479</xdr:rowOff>
    </xdr:from>
    <xdr:ext cx="4108159" cy="118814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ACED9B1-0D97-97C0-183F-BDE4D845B3A8}"/>
            </a:ext>
          </a:extLst>
        </xdr:cNvPr>
        <xdr:cNvSpPr/>
      </xdr:nvSpPr>
      <xdr:spPr>
        <a:xfrm>
          <a:off x="0" y="1419175"/>
          <a:ext cx="4108159" cy="118814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Insights Average Engagement</a:t>
          </a:r>
          <a:r>
            <a:rPr lang="en-US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Rate per platform :</a:t>
          </a:r>
          <a:endParaRPr lang="en-US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Average Engagment Rate per Platform.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Twitter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has the highest average engagement rate.</a:t>
          </a:r>
        </a:p>
        <a:p>
          <a:pPr algn="l"/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Linkedin and Instagram show similar engagement.</a:t>
          </a:r>
        </a:p>
        <a:p>
          <a:pPr algn="l"/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Youtube has sllightly lower engagement.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858951</xdr:colOff>
      <xdr:row>12</xdr:row>
      <xdr:rowOff>17008</xdr:rowOff>
    </xdr:from>
    <xdr:ext cx="4643437" cy="118814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77D714D-5242-4CD7-B561-A9A226B64987}"/>
            </a:ext>
          </a:extLst>
        </xdr:cNvPr>
        <xdr:cNvSpPr/>
      </xdr:nvSpPr>
      <xdr:spPr>
        <a:xfrm>
          <a:off x="4932589" y="2279196"/>
          <a:ext cx="4643437" cy="118814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400" b="1"/>
            <a:t>Insights for Top 10 Performing Posts</a:t>
          </a:r>
          <a:r>
            <a:rPr lang="en-US" sz="1400" b="0"/>
            <a:t>: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 b="0"/>
            <a:t>Top 10 posts are dominated by product launch and event-related content.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US" sz="1400" b="0"/>
            <a:t>Posts related to iPhone 16, Apple Watch Ultra 2, and Apple Events show highest engagement.</a:t>
          </a:r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204107</xdr:colOff>
      <xdr:row>1</xdr:row>
      <xdr:rowOff>8505</xdr:rowOff>
    </xdr:from>
    <xdr:ext cx="2797968" cy="242377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A37B7C2-F276-4980-90AB-2290E9228089}"/>
            </a:ext>
          </a:extLst>
        </xdr:cNvPr>
        <xdr:cNvSpPr/>
      </xdr:nvSpPr>
      <xdr:spPr>
        <a:xfrm>
          <a:off x="13768728" y="212612"/>
          <a:ext cx="2797968" cy="2423772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400" b="1"/>
            <a:t>Insights for Hashtag Performance:</a:t>
          </a:r>
          <a:endParaRPr lang="en-US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Top hashtags based on clicks:</a:t>
          </a:r>
        </a:p>
        <a:p>
          <a:r>
            <a:rPr lang="en-US" sz="1400" b="0"/>
            <a:t>#iPhone16Launch </a:t>
          </a:r>
        </a:p>
        <a:p>
          <a:r>
            <a:rPr lang="en-US" sz="1400" b="0"/>
            <a:t>#ShotOniPhone </a:t>
          </a:r>
        </a:p>
        <a:p>
          <a:r>
            <a:rPr lang="en-US" sz="1400" b="0"/>
            <a:t>#AppleEvent </a:t>
          </a:r>
        </a:p>
        <a:p>
          <a:r>
            <a:rPr lang="en-US" sz="1400" b="0"/>
            <a:t>#MacBookAir</a:t>
          </a:r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US" sz="1400"/>
            <a:t>Tech and product-related hashtags attract more user interaction.</a:t>
          </a:r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37</xdr:row>
      <xdr:rowOff>0</xdr:rowOff>
    </xdr:from>
    <xdr:ext cx="4643437" cy="118814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0D80CA-3F11-43B1-B411-CADA0679C84A}"/>
            </a:ext>
          </a:extLst>
        </xdr:cNvPr>
        <xdr:cNvSpPr/>
      </xdr:nvSpPr>
      <xdr:spPr>
        <a:xfrm>
          <a:off x="4073638" y="6956652"/>
          <a:ext cx="4643437" cy="118814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400" b="1"/>
            <a:t>Insights for Content Type Performance</a:t>
          </a:r>
          <a:r>
            <a:rPr lang="en-US" sz="1400" b="0"/>
            <a:t>: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 b="0"/>
            <a:t>Video and Carousel posts generate higher likes, shares, and comments.</a:t>
          </a:r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US" sz="1400" b="0"/>
            <a:t>Image and Tweet posts show comparatively lower engagement.</a:t>
          </a:r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214312</xdr:colOff>
      <xdr:row>9</xdr:row>
      <xdr:rowOff>57150</xdr:rowOff>
    </xdr:from>
    <xdr:to>
      <xdr:col>16</xdr:col>
      <xdr:colOff>604837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5DB331-7D1C-1A9B-0A9B-D832F8FCB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7</xdr:row>
      <xdr:rowOff>19050</xdr:rowOff>
    </xdr:from>
    <xdr:ext cx="4029075" cy="74982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6AF1728-8CB9-4293-86EC-1D3014ED6BD3}"/>
            </a:ext>
          </a:extLst>
        </xdr:cNvPr>
        <xdr:cNvSpPr/>
      </xdr:nvSpPr>
      <xdr:spPr>
        <a:xfrm>
          <a:off x="0" y="1352550"/>
          <a:ext cx="4029075" cy="74982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400" b="1"/>
            <a:t>Insights for Platform with Highest Engagement</a:t>
          </a:r>
          <a:r>
            <a:rPr lang="en-US" sz="1400" b="0"/>
            <a:t>: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YouTube has the highest engagement rate (17.60).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US" sz="1400" b="0" cap="none" spc="0">
              <a:ln>
                <a:noFill/>
              </a:ln>
              <a:solidFill>
                <a:sysClr val="windowText" lastClr="000000"/>
              </a:solidFill>
              <a:effectLst/>
            </a:rPr>
            <a:t>Linkedin</a:t>
          </a:r>
          <a:r>
            <a:rPr lang="en-US" sz="1400" b="0" cap="none" spc="0" baseline="0">
              <a:ln>
                <a:noFill/>
              </a:ln>
              <a:solidFill>
                <a:sysClr val="windowText" lastClr="000000"/>
              </a:solidFill>
              <a:effectLst/>
            </a:rPr>
            <a:t> has the lowest engagement rate (14.07).</a:t>
          </a:r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12</xdr:col>
      <xdr:colOff>161924</xdr:colOff>
      <xdr:row>0</xdr:row>
      <xdr:rowOff>152400</xdr:rowOff>
    </xdr:from>
    <xdr:ext cx="4638675" cy="155257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4A54D11-B0A7-4E1E-BD04-D3A04699A152}"/>
            </a:ext>
          </a:extLst>
        </xdr:cNvPr>
        <xdr:cNvSpPr/>
      </xdr:nvSpPr>
      <xdr:spPr>
        <a:xfrm>
          <a:off x="10925174" y="152400"/>
          <a:ext cx="4638675" cy="15525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400" b="1"/>
            <a:t>Insights for Follower Growth Comparison</a:t>
          </a:r>
          <a:r>
            <a:rPr lang="en-US" sz="1400" b="0"/>
            <a:t>: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 </a:t>
          </a:r>
          <a:r>
            <a:rPr lang="en-US" sz="1400"/>
            <a:t>YouTube and Instagram show higher follower growth trends.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US" sz="1400"/>
            <a:t>Major spikes observed during campaign and launch periods.</a:t>
          </a:r>
        </a:p>
        <a:p>
          <a:pPr algn="l"/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US" sz="1400"/>
            <a:t>LinkedIn and Twitter show more stable but lower growth.</a:t>
          </a:r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76200</xdr:colOff>
      <xdr:row>25</xdr:row>
      <xdr:rowOff>95251</xdr:rowOff>
    </xdr:from>
    <xdr:ext cx="4638675" cy="129540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BB4E9C1-E495-4F87-A29D-710CE46F5AE0}"/>
            </a:ext>
          </a:extLst>
        </xdr:cNvPr>
        <xdr:cNvSpPr/>
      </xdr:nvSpPr>
      <xdr:spPr>
        <a:xfrm>
          <a:off x="76200" y="4857751"/>
          <a:ext cx="4638675" cy="12954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400" b="1"/>
            <a:t>Insights for Engagement vs Ad Spend</a:t>
          </a:r>
          <a:r>
            <a:rPr lang="en-US" sz="1400" b="0"/>
            <a:t>: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 </a:t>
          </a:r>
          <a:r>
            <a:rPr lang="en-US" sz="1400"/>
            <a:t>Platforms with higher spend (like LinkedIn) do not always show higher engagement.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US" sz="1400"/>
            <a:t>YouTube achieves strong engagement despite optimized spend.</a:t>
          </a:r>
        </a:p>
      </xdr:txBody>
    </xdr:sp>
    <xdr:clientData/>
  </xdr:oneCellAnchor>
  <xdr:oneCellAnchor>
    <xdr:from>
      <xdr:col>12</xdr:col>
      <xdr:colOff>247650</xdr:colOff>
      <xdr:row>23</xdr:row>
      <xdr:rowOff>95250</xdr:rowOff>
    </xdr:from>
    <xdr:ext cx="4638675" cy="1838325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F60B633-5D1E-4A1A-BB5C-F5E46A3A4F93}"/>
            </a:ext>
          </a:extLst>
        </xdr:cNvPr>
        <xdr:cNvSpPr/>
      </xdr:nvSpPr>
      <xdr:spPr>
        <a:xfrm>
          <a:off x="12039600" y="4476750"/>
          <a:ext cx="4638675" cy="183832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400" b="1"/>
            <a:t>Insights for Strategic Recommendation</a:t>
          </a:r>
          <a:r>
            <a:rPr lang="en-US" sz="1400" b="0"/>
            <a:t>: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 </a:t>
          </a:r>
          <a:r>
            <a:rPr lang="en-US" sz="1400"/>
            <a:t>Apple should </a:t>
          </a:r>
          <a:r>
            <a:rPr lang="en-US" sz="1400" b="0"/>
            <a:t>prioritize YouTube for video-based campaigns.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US" sz="1400"/>
            <a:t>Instagram should be used for visual engagement.</a:t>
          </a:r>
        </a:p>
        <a:p>
          <a:pPr algn="l"/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US" sz="1400" b="0"/>
            <a:t>Continue a multi-platform strategy to maintain reach across audiences.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US" sz="1400"/>
            <a:t>Focus on YouTube and Instagram for maximum engagement while keeping presence on other platforms.</a:t>
          </a:r>
        </a:p>
        <a:p>
          <a:pPr algn="l"/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029075" cy="118814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7196FC-C784-4914-AA01-F25A8FC30FFB}"/>
            </a:ext>
          </a:extLst>
        </xdr:cNvPr>
        <xdr:cNvSpPr/>
      </xdr:nvSpPr>
      <xdr:spPr>
        <a:xfrm>
          <a:off x="0" y="2667000"/>
          <a:ext cx="4029075" cy="1188146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400" b="1"/>
            <a:t>Insights for Hashtag Performance Analysis</a:t>
          </a:r>
          <a:r>
            <a:rPr lang="en-US" sz="1400" b="0"/>
            <a:t>: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Top performing hashtags: #AppleEvent,</a:t>
          </a:r>
        </a:p>
        <a:p>
          <a:pPr algn="l"/>
          <a:r>
            <a:rPr lang="en-US" sz="1400"/>
            <a:t>#AppleWatch, #AppleMusic &amp;</a:t>
          </a:r>
          <a:r>
            <a:rPr lang="en-US" sz="1400" baseline="0"/>
            <a:t> </a:t>
          </a:r>
          <a:r>
            <a:rPr lang="en-US" sz="1400"/>
            <a:t>#iPhone16Launch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US" sz="1400"/>
            <a:t>Apple mainly focuses on event-based and product-related hashtags for content promotion.</a:t>
          </a:r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66675</xdr:colOff>
      <xdr:row>2</xdr:row>
      <xdr:rowOff>0</xdr:rowOff>
    </xdr:from>
    <xdr:ext cx="4295775" cy="140730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4502D7B-DFC6-4AD3-A5BB-992CE70EA420}"/>
            </a:ext>
          </a:extLst>
        </xdr:cNvPr>
        <xdr:cNvSpPr/>
      </xdr:nvSpPr>
      <xdr:spPr>
        <a:xfrm>
          <a:off x="8743950" y="381000"/>
          <a:ext cx="4295775" cy="1407308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400" b="1"/>
            <a:t>Insights for Top Performing Hashtags (Clicks &amp;</a:t>
          </a:r>
          <a:r>
            <a:rPr lang="en-US" sz="1400" b="1" baseline="0"/>
            <a:t> </a:t>
          </a:r>
          <a:r>
            <a:rPr lang="en-US" sz="1400" b="1"/>
            <a:t>Likes)</a:t>
          </a:r>
          <a:r>
            <a:rPr lang="en-US" sz="1400" b="0"/>
            <a:t>: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#iPhone16Launch → Highest average clicks (1811).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US" sz="1400"/>
            <a:t>#ShotOniPhone &amp; #AppleWatch → strong engagement (likes &amp; clicks)</a:t>
          </a:r>
        </a:p>
        <a:p>
          <a:pPr algn="l"/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US" sz="1400"/>
            <a:t>Product launch and user-generated content hashtags drive maximum engagement.</a:t>
          </a:r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47625</xdr:colOff>
      <xdr:row>31</xdr:row>
      <xdr:rowOff>104775</xdr:rowOff>
    </xdr:from>
    <xdr:ext cx="5057775" cy="197167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B86A931-30FB-45AD-B142-EACF9BC1CBEE}"/>
            </a:ext>
          </a:extLst>
        </xdr:cNvPr>
        <xdr:cNvSpPr/>
      </xdr:nvSpPr>
      <xdr:spPr>
        <a:xfrm>
          <a:off x="47625" y="6010275"/>
          <a:ext cx="5057775" cy="19716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400" b="1"/>
            <a:t>Insights for Content Performance</a:t>
          </a:r>
          <a:r>
            <a:rPr lang="en-US" sz="1400" b="0"/>
            <a:t>: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Video content is the most engaging format as it provides detailed product experience and storytelling.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US" sz="1400"/>
            <a:t>Carousel posts keep users engaged longer due to multiple slides, increasing interaction rates.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US" sz="1400"/>
            <a:t>Static images attract attention but lack depth compared to interactive formats.</a:t>
          </a:r>
          <a:endParaRPr lang="en-US" sz="1100" b="0" i="0" u="none" strike="noStrike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4.</a:t>
          </a:r>
          <a:r>
            <a:rPr lang="en-US" sz="1400" b="0" i="0" u="none" strike="noStrike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400"/>
            <a:t>Video &gt; Carousel &gt; Image (in terms of engagement performance)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/>
        </a:p>
        <a:p>
          <a:pPr algn="l"/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12</xdr:col>
      <xdr:colOff>828675</xdr:colOff>
      <xdr:row>17</xdr:row>
      <xdr:rowOff>85725</xdr:rowOff>
    </xdr:from>
    <xdr:ext cx="4029075" cy="96898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6112DAB-45F3-4990-8794-B4BA685B9296}"/>
            </a:ext>
          </a:extLst>
        </xdr:cNvPr>
        <xdr:cNvSpPr/>
      </xdr:nvSpPr>
      <xdr:spPr>
        <a:xfrm>
          <a:off x="12573000" y="3324225"/>
          <a:ext cx="4029075" cy="9689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400" b="1"/>
            <a:t>Insights: </a:t>
          </a:r>
          <a:r>
            <a:rPr lang="en-US" sz="1400"/>
            <a:t>Strategy Recommendation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Apple should prioritize video and carousel content for campaigns, while using images for branding and consistency.</a:t>
          </a:r>
          <a:endParaRPr lang="en-US" sz="14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85725</xdr:rowOff>
    </xdr:from>
    <xdr:ext cx="4029075" cy="96898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D709D1-6AF3-47E1-B18F-A00CBD74F8FA}"/>
            </a:ext>
          </a:extLst>
        </xdr:cNvPr>
        <xdr:cNvSpPr/>
      </xdr:nvSpPr>
      <xdr:spPr>
        <a:xfrm>
          <a:off x="0" y="1609725"/>
          <a:ext cx="4029075" cy="9689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400" b="1"/>
            <a:t>Insights: </a:t>
          </a:r>
          <a:r>
            <a:rPr lang="en-US" sz="1400"/>
            <a:t>Overall Campaign Effectiveness</a:t>
          </a:r>
          <a:endParaRPr lang="en-U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Campaign success is driven by a mix of strong content, timing (launch events), and platform selection rather than just budget.</a:t>
          </a:r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4533900" cy="162647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0DCA8D8-40FB-49B7-9CB2-CF110833567C}"/>
            </a:ext>
          </a:extLst>
        </xdr:cNvPr>
        <xdr:cNvSpPr/>
      </xdr:nvSpPr>
      <xdr:spPr>
        <a:xfrm>
          <a:off x="0" y="3238500"/>
          <a:ext cx="4533900" cy="1626471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400" b="1"/>
            <a:t>Insights: Highest ROI Campaign (Engagement vs Ad Spend)</a:t>
          </a:r>
          <a:endParaRPr lang="en-US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 b="0"/>
            <a:t>Campaigns with high engagement but optimized (moderate) ad spend give best ROI.</a:t>
          </a:r>
        </a:p>
        <a:p>
          <a:r>
            <a:rPr lang="en-US" sz="1400" b="0"/>
            <a:t>2. High spend campaigns (especially LinkedIn type) do not always give better results.</a:t>
          </a:r>
        </a:p>
        <a:p>
          <a:r>
            <a:rPr lang="en-US" sz="1400" b="0"/>
            <a:t>3. </a:t>
          </a:r>
          <a:r>
            <a:rPr lang="en-US" sz="1400"/>
            <a:t>ROI depends more on content effectiveness than just ad spend.</a:t>
          </a:r>
          <a:endParaRPr lang="en-US" sz="1400" b="0"/>
        </a:p>
      </xdr:txBody>
    </xdr:sp>
    <xdr:clientData/>
  </xdr:oneCellAnchor>
  <xdr:oneCellAnchor>
    <xdr:from>
      <xdr:col>4</xdr:col>
      <xdr:colOff>457200</xdr:colOff>
      <xdr:row>16</xdr:row>
      <xdr:rowOff>161925</xdr:rowOff>
    </xdr:from>
    <xdr:ext cx="4219575" cy="161925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F812C0B-4234-45F9-843A-B2BCC131B80A}"/>
            </a:ext>
          </a:extLst>
        </xdr:cNvPr>
        <xdr:cNvSpPr/>
      </xdr:nvSpPr>
      <xdr:spPr>
        <a:xfrm>
          <a:off x="5257800" y="3209925"/>
          <a:ext cx="4219575" cy="161925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400" b="1"/>
            <a:t>Insights: Campaign Driving Strongest Follower Growth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Campaign periods (launch/events) show </a:t>
          </a:r>
          <a:r>
            <a:rPr lang="en-US" sz="1400" b="0"/>
            <a:t>sharp spikes in new followers.</a:t>
          </a:r>
        </a:p>
        <a:p>
          <a:pPr algn="l"/>
          <a:r>
            <a:rPr lang="en-US" sz="1400" b="0"/>
            <a:t>2. </a:t>
          </a:r>
          <a:r>
            <a:rPr lang="en-US" sz="1400"/>
            <a:t>Particularly </a:t>
          </a:r>
          <a:r>
            <a:rPr lang="en-US" sz="1400" b="0"/>
            <a:t>product launch campaigns (iPhone, Apple Event) </a:t>
          </a:r>
          <a:r>
            <a:rPr lang="en-US" sz="1400"/>
            <a:t>drive maximum growth.</a:t>
          </a:r>
        </a:p>
        <a:p>
          <a:pPr algn="l"/>
          <a:r>
            <a:rPr lang="en-US" sz="1400" b="0"/>
            <a:t>3. </a:t>
          </a:r>
          <a:r>
            <a:rPr lang="en-US" sz="1400"/>
            <a:t>Product launch campaigns are the biggest drivers of audience growth.</a:t>
          </a:r>
          <a:endParaRPr lang="en-US" sz="1400" b="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1</xdr:row>
      <xdr:rowOff>100012</xdr:rowOff>
    </xdr:from>
    <xdr:to>
      <xdr:col>14</xdr:col>
      <xdr:colOff>485775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1C724E-F375-C0CB-5AA6-392B84A37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76201</xdr:colOff>
      <xdr:row>43</xdr:row>
      <xdr:rowOff>47625</xdr:rowOff>
    </xdr:from>
    <xdr:ext cx="3429000" cy="1876425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46D082C-58B0-40ED-A5E5-534987AD41A4}"/>
            </a:ext>
          </a:extLst>
        </xdr:cNvPr>
        <xdr:cNvSpPr/>
      </xdr:nvSpPr>
      <xdr:spPr>
        <a:xfrm>
          <a:off x="5810251" y="8239125"/>
          <a:ext cx="3429000" cy="187642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400" b="1"/>
            <a:t>Insights: </a:t>
          </a:r>
          <a:r>
            <a:rPr lang="en-US" sz="1400"/>
            <a:t>Weekly Follower Growth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Follower growth </a:t>
          </a:r>
          <a:r>
            <a:rPr lang="en-US" sz="1400" b="0"/>
            <a:t>fluctuating across weeks</a:t>
          </a:r>
        </a:p>
        <a:p>
          <a:pPr algn="l"/>
          <a:r>
            <a:rPr lang="en-US" sz="1400" b="0"/>
            <a:t>2. </a:t>
          </a:r>
          <a:r>
            <a:rPr lang="en-US" sz="1400"/>
            <a:t>There are noticeable </a:t>
          </a:r>
          <a:r>
            <a:rPr lang="en-US" sz="1400" b="0"/>
            <a:t>spikes during certain periods</a:t>
          </a:r>
          <a:r>
            <a:rPr lang="en-US" sz="1400"/>
            <a:t>.</a:t>
          </a:r>
        </a:p>
        <a:p>
          <a:pPr algn="l"/>
          <a:r>
            <a:rPr lang="en-US" sz="1400" b="0"/>
            <a:t>3. </a:t>
          </a:r>
          <a:r>
            <a:rPr lang="en-US" sz="1400"/>
            <a:t>Follower growth is inconsistent but experiences sharp increases during campaign periods.</a:t>
          </a:r>
          <a:endParaRPr lang="en-US" sz="1400" b="0"/>
        </a:p>
      </xdr:txBody>
    </xdr:sp>
    <xdr:clientData/>
  </xdr:oneCellAnchor>
  <xdr:oneCellAnchor>
    <xdr:from>
      <xdr:col>10</xdr:col>
      <xdr:colOff>190500</xdr:colOff>
      <xdr:row>21</xdr:row>
      <xdr:rowOff>104775</xdr:rowOff>
    </xdr:from>
    <xdr:ext cx="3429000" cy="327660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ACA0668-5128-4C76-9B0F-185FFD74865D}"/>
            </a:ext>
          </a:extLst>
        </xdr:cNvPr>
        <xdr:cNvSpPr/>
      </xdr:nvSpPr>
      <xdr:spPr>
        <a:xfrm>
          <a:off x="9258300" y="4105275"/>
          <a:ext cx="3429000" cy="32766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400" b="1"/>
            <a:t>Insights: </a:t>
          </a:r>
          <a:r>
            <a:rPr lang="en-US" sz="1400"/>
            <a:t>Peak Week of Follower Gain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Instagram had the highest peak </a:t>
          </a:r>
          <a:endParaRPr lang="en-US" sz="1400" b="0"/>
        </a:p>
        <a:p>
          <a:r>
            <a:rPr lang="en-US" sz="1400" b="0"/>
            <a:t>2. </a:t>
          </a:r>
          <a:r>
            <a:rPr lang="en-US" sz="1400"/>
            <a:t>The peak follower growth weeks were observed around October 2024, late December 2024, and March 2025, with the highest spike occurring in mid-March 2025. These peaks align with major campaign or product launch periods.</a:t>
          </a:r>
        </a:p>
        <a:p>
          <a:r>
            <a:rPr lang="en-US" sz="1400"/>
            <a:t>3. The moving average shows a </a:t>
          </a:r>
          <a:r>
            <a:rPr lang="en-US" sz="1400" b="0"/>
            <a:t>smooth and stable long-term trend.</a:t>
          </a:r>
        </a:p>
        <a:p>
          <a:r>
            <a:rPr lang="en-US" sz="1400" b="0"/>
            <a:t>4.</a:t>
          </a:r>
          <a:r>
            <a:rPr lang="en-US" sz="1400"/>
            <a:t>It reduces the effect of short-term fluctuations.</a:t>
          </a:r>
        </a:p>
        <a:p>
          <a:r>
            <a:rPr lang="en-US" sz="1400" b="0"/>
            <a:t>5. YouTube and Instagram</a:t>
          </a:r>
          <a:r>
            <a:rPr lang="en-US" sz="1400"/>
            <a:t> show higher and more consistent growth.</a:t>
          </a:r>
          <a:endParaRPr lang="en-US" sz="1400" b="0"/>
        </a:p>
        <a:p>
          <a:endParaRPr lang="en-US" sz="1400" b="0"/>
        </a:p>
        <a:p>
          <a:pPr algn="l"/>
          <a:endParaRPr lang="en-US" sz="1400" b="0"/>
        </a:p>
      </xdr:txBody>
    </xdr:sp>
    <xdr:clientData/>
  </xdr:oneCellAnchor>
  <xdr:twoCellAnchor>
    <xdr:from>
      <xdr:col>0</xdr:col>
      <xdr:colOff>28575</xdr:colOff>
      <xdr:row>57</xdr:row>
      <xdr:rowOff>28575</xdr:rowOff>
    </xdr:from>
    <xdr:to>
      <xdr:col>5</xdr:col>
      <xdr:colOff>342900</xdr:colOff>
      <xdr:row>76</xdr:row>
      <xdr:rowOff>138113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2A0680-B078-46E9-A64A-3815C1087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400050</xdr:colOff>
      <xdr:row>57</xdr:row>
      <xdr:rowOff>104775</xdr:rowOff>
    </xdr:from>
    <xdr:ext cx="4219575" cy="182880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32D376E-D86C-407C-BFFD-A723BB953964}"/>
            </a:ext>
          </a:extLst>
        </xdr:cNvPr>
        <xdr:cNvSpPr/>
      </xdr:nvSpPr>
      <xdr:spPr>
        <a:xfrm>
          <a:off x="4600575" y="10963275"/>
          <a:ext cx="4219575" cy="18288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400" b="1"/>
            <a:t>Insights: </a:t>
          </a:r>
          <a:r>
            <a:rPr lang="en-US" sz="1400"/>
            <a:t>Ad Spend vs Follower Growth</a:t>
          </a:r>
        </a:p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</a:t>
          </a:r>
          <a:r>
            <a:rPr lang="en-U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400"/>
            <a:t>Scatter plot shows </a:t>
          </a:r>
          <a:r>
            <a:rPr lang="en-US" sz="1400" b="0"/>
            <a:t>weak to moderate correlation</a:t>
          </a:r>
        </a:p>
        <a:p>
          <a:pPr algn="l"/>
          <a:r>
            <a:rPr lang="en-US" sz="1400" b="0"/>
            <a:t>2. </a:t>
          </a:r>
          <a:r>
            <a:rPr lang="en-US" sz="1400"/>
            <a:t>High ad spend not</a:t>
          </a:r>
          <a:r>
            <a:rPr lang="en-US" sz="1400" baseline="0"/>
            <a:t> provide</a:t>
          </a:r>
          <a:r>
            <a:rPr lang="en-US" sz="1400"/>
            <a:t> always high follower growth.</a:t>
          </a:r>
        </a:p>
        <a:p>
          <a:pPr algn="l"/>
          <a:r>
            <a:rPr lang="en-US" sz="1400" b="0"/>
            <a:t>3. </a:t>
          </a:r>
          <a:r>
            <a:rPr lang="en-US" sz="1400"/>
            <a:t>Ad spend alone does not guarantee growth; content quality matters more.</a:t>
          </a:r>
        </a:p>
        <a:p>
          <a:pPr algn="l"/>
          <a:r>
            <a:rPr lang="en-US" sz="1400" b="0"/>
            <a:t>4. </a:t>
          </a:r>
          <a:r>
            <a:rPr lang="en-US" sz="1400"/>
            <a:t>Follower growth depends more on content quality and engagement rather than just ad spend.</a:t>
          </a:r>
          <a:endParaRPr lang="en-US" sz="1400" b="0"/>
        </a:p>
      </xdr:txBody>
    </xdr:sp>
    <xdr:clientData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ousahil" refreshedDate="46140.882655787034" createdVersion="8" refreshedVersion="8" minRefreshableVersion="3" recordCount="999" xr:uid="{6D26DD7E-49AC-419A-84A7-3D7BD4309E98}">
  <cacheSource type="worksheet">
    <worksheetSource name="Posts"/>
  </cacheSource>
  <cacheFields count="14">
    <cacheField name="PostID" numFmtId="0">
      <sharedItems containsBlank="1" count="301">
        <s v="A82"/>
        <s v="A201"/>
        <s v="A121"/>
        <s v="A127"/>
        <s v="A13"/>
        <s v="A123"/>
        <s v="A287"/>
        <s v="A226"/>
        <s v="A231"/>
        <s v="A185"/>
        <s v="A106"/>
        <s v="A174"/>
        <s v="A254"/>
        <s v="A223"/>
        <s v="A164"/>
        <s v="A151"/>
        <s v="A140"/>
        <s v="A83"/>
        <s v="A196"/>
        <s v="A136"/>
        <s v="A5"/>
        <s v="A80"/>
        <s v="A150"/>
        <s v="A220"/>
        <s v="A21"/>
        <s v="A244"/>
        <s v="A76"/>
        <s v="A216"/>
        <s v="A51"/>
        <s v="A6"/>
        <s v="A289"/>
        <s v="A186"/>
        <s v="A61"/>
        <s v="A286"/>
        <s v="A105"/>
        <s v="A119"/>
        <s v="A170"/>
        <s v="A46"/>
        <s v="A187"/>
        <s v="A190"/>
        <s v="A251"/>
        <s v="A74"/>
        <s v="A42"/>
        <s v="A246"/>
        <s v="A260"/>
        <s v="A93"/>
        <s v="A163"/>
        <s v="A300"/>
        <s v="A68"/>
        <s v="A126"/>
        <s v="A129"/>
        <s v="A97"/>
        <s v="A47"/>
        <s v="A152"/>
        <s v="A230"/>
        <s v="A148"/>
        <s v="A139"/>
        <s v="A23"/>
        <s v="A125"/>
        <s v="A91"/>
        <s v="A44"/>
        <s v="A276"/>
        <s v="A160"/>
        <s v="A158"/>
        <s v="A202"/>
        <s v="A73"/>
        <s v="A221"/>
        <s v="A285"/>
        <s v="A62"/>
        <s v="A75"/>
        <s v="A189"/>
        <s v="A50"/>
        <s v="A132"/>
        <s v="A40"/>
        <s v="A77"/>
        <s v="A264"/>
        <s v="A108"/>
        <s v="A248"/>
        <s v="A104"/>
        <s v="A242"/>
        <s v="A155"/>
        <s v="A232"/>
        <s v="A224"/>
        <s v="A67"/>
        <s v="A203"/>
        <s v="A184"/>
        <s v="A88"/>
        <s v="A39"/>
        <s v="A168"/>
        <s v="A60"/>
        <s v="A147"/>
        <s v="A72"/>
        <s v="A265"/>
        <s v="A7"/>
        <s v="A100"/>
        <s v="A294"/>
        <s v="A1"/>
        <s v="A84"/>
        <s v="A53"/>
        <s v="A138"/>
        <s v="A194"/>
        <s v="A135"/>
        <s v="A205"/>
        <s v="A24"/>
        <s v="A271"/>
        <s v="A131"/>
        <s v="A36"/>
        <s v="A144"/>
        <s v="A157"/>
        <s v="A109"/>
        <s v="A217"/>
        <s v="A66"/>
        <s v="A228"/>
        <s v="A234"/>
        <s v="A107"/>
        <s v="A63"/>
        <s v="A204"/>
        <s v="A250"/>
        <s v="A95"/>
        <s v="A143"/>
        <s v="A98"/>
        <s v="A161"/>
        <s v="A27"/>
        <s v="A128"/>
        <s v="A159"/>
        <s v="A195"/>
        <s v="A71"/>
        <s v="A92"/>
        <s v="A225"/>
        <s v="A19"/>
        <s v="A3"/>
        <s v="A146"/>
        <s v="A284"/>
        <s v="A235"/>
        <s v="A282"/>
        <s v="A258"/>
        <s v="A153"/>
        <s v="A33"/>
        <s v="A183"/>
        <s v="A52"/>
        <s v="A199"/>
        <s v="A262"/>
        <s v="A268"/>
        <s v="A180"/>
        <s v="A214"/>
        <s v="A272"/>
        <s v="A198"/>
        <s v="A296"/>
        <s v="A240"/>
        <s v="A243"/>
        <s v="A290"/>
        <s v="A237"/>
        <s v="A166"/>
        <s v="A122"/>
        <s v="A249"/>
        <s v="A165"/>
        <s v="A10"/>
        <s v="A103"/>
        <s v="A118"/>
        <s v="A253"/>
        <s v="A114"/>
        <s v="A208"/>
        <s v="A263"/>
        <s v="A35"/>
        <s v="A26"/>
        <s v="A238"/>
        <s v="A56"/>
        <s v="A266"/>
        <s v="A179"/>
        <s v="A2"/>
        <s v="A86"/>
        <s v="A57"/>
        <s v="A297"/>
        <s v="A137"/>
        <s v="A29"/>
        <s v="A34"/>
        <s v="A64"/>
        <s v="A55"/>
        <s v="A259"/>
        <s v="A25"/>
        <s v="A213"/>
        <s v="A255"/>
        <s v="A8"/>
        <s v="A215"/>
        <s v="A117"/>
        <s v="A176"/>
        <s v="A175"/>
        <s v="A212"/>
        <s v="A172"/>
        <s v="A191"/>
        <s v="A227"/>
        <s v="A267"/>
        <s v="A59"/>
        <s v="A124"/>
        <s v="A101"/>
        <s v="A278"/>
        <s v="A11"/>
        <s v="A277"/>
        <s v="A116"/>
        <s v="A112"/>
        <s v="A211"/>
        <s v="A233"/>
        <s v="A239"/>
        <s v="A17"/>
        <s v="A252"/>
        <s v="A209"/>
        <s v="A18"/>
        <s v="A229"/>
        <s v="A89"/>
        <s v="A177"/>
        <s v="A192"/>
        <s v="A115"/>
        <s v="A257"/>
        <s v="A291"/>
        <s v="A299"/>
        <s v="A45"/>
        <s v="A37"/>
        <s v="A162"/>
        <s v="A279"/>
        <s v="A241"/>
        <s v="A111"/>
        <s v="A99"/>
        <s v="A222"/>
        <s v="A54"/>
        <s v="A218"/>
        <s v="A154"/>
        <s v="A210"/>
        <s v="A149"/>
        <s v="A295"/>
        <s v="A85"/>
        <s v="A156"/>
        <s v="A270"/>
        <s v="A169"/>
        <s v="A81"/>
        <s v="A48"/>
        <s v="A15"/>
        <s v="A288"/>
        <s v="A32"/>
        <s v="A133"/>
        <s v="A28"/>
        <s v="A96"/>
        <s v="A87"/>
        <s v="A49"/>
        <s v="A20"/>
        <s v="A102"/>
        <s v="A69"/>
        <s v="A120"/>
        <s v="A293"/>
        <s v="A113"/>
        <s v="A197"/>
        <s v="A94"/>
        <s v="A30"/>
        <s v="A12"/>
        <s v="A269"/>
        <s v="A9"/>
        <s v="A31"/>
        <s v="A22"/>
        <s v="A200"/>
        <s v="A261"/>
        <s v="A219"/>
        <s v="A171"/>
        <s v="A65"/>
        <s v="A130"/>
        <s v="A16"/>
        <s v="A58"/>
        <s v="A145"/>
        <s v="A283"/>
        <s v="A298"/>
        <s v="A90"/>
        <s v="A134"/>
        <s v="A38"/>
        <s v="A70"/>
        <s v="A142"/>
        <s v="A207"/>
        <s v="A274"/>
        <s v="A206"/>
        <s v="A256"/>
        <s v="A182"/>
        <s v="A79"/>
        <s v="A14"/>
        <s v="A275"/>
        <s v="A141"/>
        <s v="A43"/>
        <s v="A281"/>
        <s v="A280"/>
        <s v="A178"/>
        <s v="A181"/>
        <s v="A110"/>
        <s v="A292"/>
        <s v="A273"/>
        <s v="A247"/>
        <s v="A173"/>
        <s v="A193"/>
        <s v="A245"/>
        <s v="A236"/>
        <s v="A41"/>
        <s v="A78"/>
        <s v="A188"/>
        <s v="A4"/>
        <s v="A167"/>
        <m/>
      </sharedItems>
    </cacheField>
    <cacheField name="Platform" numFmtId="0">
      <sharedItems containsBlank="1" count="5">
        <s v="LinkedIn"/>
        <s v="YouTube"/>
        <s v="Twitter"/>
        <s v="Instagram"/>
        <m/>
      </sharedItems>
    </cacheField>
    <cacheField name="Date" numFmtId="0">
      <sharedItems containsNonDate="0" containsDate="1" containsString="0" containsBlank="1" minDate="2024-06-01T00:00:00" maxDate="2025-10-16T00:00:00"/>
    </cacheField>
    <cacheField name="ContentType" numFmtId="0">
      <sharedItems containsBlank="1" count="5">
        <s v="Video"/>
        <s v="Tweet"/>
        <s v="Image"/>
        <s v="Carousel"/>
        <m/>
      </sharedItems>
    </cacheField>
    <cacheField name="Hashtags.2" numFmtId="0">
      <sharedItems containsBlank="1" count="12">
        <s v="#AppleMusic "/>
        <s v="#ShotOniPhone"/>
        <s v="#AppleWatchUltra2 "/>
        <s v="#AppleEvent "/>
        <s v="#AppleWatch "/>
        <s v="#MacBookAirM3 "/>
        <s v="#AppleDesign "/>
        <s v="#MacBookProM3"/>
        <s v="#iPhonePhotography "/>
        <s v="#iPhone16Launch "/>
        <s v="#Sustainability "/>
        <m/>
      </sharedItems>
    </cacheField>
    <cacheField name="Hashtags.3" numFmtId="0">
      <sharedItems containsBlank="1" count="11">
        <s v="#AppleLifestyle"/>
        <m/>
        <s v="#HealthTech"/>
        <s v="#iPhone16"/>
        <s v="#iPadPro"/>
        <s v="#Health"/>
        <s v="#AppleInnovation"/>
        <s v="#Innovation"/>
        <s v="#ShotOniPhone"/>
        <s v="#AppleEvent"/>
        <s v="#AppleEarth"/>
      </sharedItems>
    </cacheField>
    <cacheField name="Likes" numFmtId="2">
      <sharedItems containsString="0" containsBlank="1" containsNumber="1" containsInteger="1" minValue="2009" maxValue="24984"/>
    </cacheField>
    <cacheField name="Shares" numFmtId="2">
      <sharedItems containsString="0" containsBlank="1" containsNumber="1" containsInteger="1" minValue="203" maxValue="1487"/>
    </cacheField>
    <cacheField name="Comments" numFmtId="2">
      <sharedItems containsString="0" containsBlank="1" containsNumber="1" containsInteger="1" minValue="152" maxValue="999"/>
    </cacheField>
    <cacheField name="Clicks" numFmtId="2">
      <sharedItems containsString="0" containsBlank="1" containsNumber="1" containsInteger="1" minValue="301" maxValue="2936"/>
    </cacheField>
    <cacheField name="Reach" numFmtId="2">
      <sharedItems containsString="0" containsBlank="1" containsNumber="1" containsInteger="1" minValue="7" maxValue="97772"/>
    </cacheField>
    <cacheField name="Impressions" numFmtId="2">
      <sharedItems containsString="0" containsBlank="1" containsNumber="1" containsInteger="1" minValue="40281" maxValue="249988"/>
    </cacheField>
    <cacheField name="Campaign" numFmtId="0">
      <sharedItems containsBlank="1" count="6">
        <s v="Apple Watch Ultra 2 Launch"/>
        <s v="iPhone 16 Launch"/>
        <s v="MacBook Air M3 Campaign"/>
        <s v="Sustainability Awareness Drive"/>
        <s v="Apple Event September 2025"/>
        <m/>
      </sharedItems>
    </cacheField>
    <cacheField name="Engament_Rate" numFmtId="0">
      <sharedItems containsString="0" containsBlank="1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ousahil" refreshedDate="46144.165582638889" createdVersion="8" refreshedVersion="8" minRefreshableVersion="3" recordCount="200" xr:uid="{1CA3CAC5-D554-4150-AF5C-A52C0331F3E3}">
  <cacheSource type="worksheet">
    <worksheetSource name="Engagement_Summary"/>
  </cacheSource>
  <cacheFields count="7">
    <cacheField name="Week_Start_Date" numFmtId="16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</cacheField>
    <cacheField name="Platform" numFmtId="0">
      <sharedItems containsBlank="1" count="5">
        <s v="Instagram"/>
        <s v="Twitter"/>
        <s v="YouTube"/>
        <s v="LinkedIn"/>
        <m u="1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2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d v="2024-07-24T00:00:00"/>
    <x v="0"/>
    <x v="0"/>
    <x v="0"/>
    <n v="22914"/>
    <n v="954"/>
    <n v="584"/>
    <n v="1519"/>
    <n v="13637"/>
    <n v="49847"/>
    <x v="0"/>
    <n v="0.49054105563022848"/>
  </r>
  <r>
    <x v="1"/>
    <x v="1"/>
    <d v="2025-01-15T00:00:00"/>
    <x v="1"/>
    <x v="1"/>
    <x v="1"/>
    <n v="20360"/>
    <n v="254"/>
    <n v="726"/>
    <n v="1995"/>
    <n v="14280"/>
    <n v="43726"/>
    <x v="1"/>
    <n v="0.48803915290673738"/>
  </r>
  <r>
    <x v="2"/>
    <x v="0"/>
    <d v="2024-07-29T00:00:00"/>
    <x v="0"/>
    <x v="2"/>
    <x v="2"/>
    <n v="19144"/>
    <n v="1182"/>
    <n v="860"/>
    <n v="1398"/>
    <n v="4185"/>
    <n v="46570"/>
    <x v="0"/>
    <n v="0.454928065278076"/>
  </r>
  <r>
    <x v="3"/>
    <x v="2"/>
    <d v="2025-01-27T00:00:00"/>
    <x v="2"/>
    <x v="3"/>
    <x v="3"/>
    <n v="24415"/>
    <n v="860"/>
    <n v="931"/>
    <n v="320"/>
    <n v="65049"/>
    <n v="62911"/>
    <x v="0"/>
    <n v="0.41655672298962027"/>
  </r>
  <r>
    <x v="4"/>
    <x v="1"/>
    <d v="2024-11-18T00:00:00"/>
    <x v="3"/>
    <x v="0"/>
    <x v="0"/>
    <n v="21255"/>
    <n v="1452"/>
    <n v="625"/>
    <n v="1624"/>
    <n v="21282"/>
    <n v="57778"/>
    <x v="2"/>
    <n v="0.40382152376337016"/>
  </r>
  <r>
    <x v="5"/>
    <x v="2"/>
    <d v="2024-06-14T00:00:00"/>
    <x v="0"/>
    <x v="3"/>
    <x v="3"/>
    <n v="17183"/>
    <n v="1224"/>
    <n v="943"/>
    <n v="2010"/>
    <n v="21481"/>
    <n v="49110"/>
    <x v="3"/>
    <n v="0.39401343921808185"/>
  </r>
  <r>
    <x v="6"/>
    <x v="3"/>
    <d v="2024-08-15T00:00:00"/>
    <x v="0"/>
    <x v="3"/>
    <x v="4"/>
    <n v="14977"/>
    <n v="274"/>
    <n v="798"/>
    <n v="458"/>
    <n v="6636"/>
    <n v="43654"/>
    <x v="0"/>
    <n v="0.36764099509781462"/>
  </r>
  <r>
    <x v="7"/>
    <x v="2"/>
    <d v="2025-09-08T00:00:00"/>
    <x v="1"/>
    <x v="4"/>
    <x v="5"/>
    <n v="23785"/>
    <n v="1013"/>
    <n v="468"/>
    <n v="1628"/>
    <n v="8272"/>
    <n v="71348"/>
    <x v="4"/>
    <n v="0.35412345125301342"/>
  </r>
  <r>
    <x v="8"/>
    <x v="2"/>
    <d v="2025-09-09T00:00:00"/>
    <x v="2"/>
    <x v="0"/>
    <x v="0"/>
    <n v="19260"/>
    <n v="668"/>
    <n v="994"/>
    <n v="934"/>
    <n v="20509"/>
    <n v="61636"/>
    <x v="4"/>
    <n v="0.33944448049841003"/>
  </r>
  <r>
    <x v="9"/>
    <x v="3"/>
    <d v="2025-01-11T00:00:00"/>
    <x v="2"/>
    <x v="5"/>
    <x v="6"/>
    <n v="21181"/>
    <n v="1242"/>
    <n v="963"/>
    <n v="1689"/>
    <n v="49329"/>
    <n v="69165"/>
    <x v="0"/>
    <n v="0.33811899081905589"/>
  </r>
  <r>
    <x v="10"/>
    <x v="2"/>
    <d v="2025-02-04T00:00:00"/>
    <x v="3"/>
    <x v="4"/>
    <x v="5"/>
    <n v="23833"/>
    <n v="555"/>
    <n v="523"/>
    <n v="1330"/>
    <n v="69141"/>
    <n v="73997"/>
    <x v="1"/>
    <n v="0.33664878305877266"/>
  </r>
  <r>
    <x v="11"/>
    <x v="0"/>
    <d v="2024-06-22T00:00:00"/>
    <x v="3"/>
    <x v="2"/>
    <x v="2"/>
    <n v="13479"/>
    <n v="1189"/>
    <n v="695"/>
    <n v="416"/>
    <n v="30229"/>
    <n v="45704"/>
    <x v="0"/>
    <n v="0.33614125678277612"/>
  </r>
  <r>
    <x v="12"/>
    <x v="3"/>
    <d v="2025-01-14T00:00:00"/>
    <x v="3"/>
    <x v="3"/>
    <x v="3"/>
    <n v="24350"/>
    <n v="460"/>
    <n v="666"/>
    <n v="814"/>
    <n v="21120"/>
    <n v="76914"/>
    <x v="0"/>
    <n v="0.33122708479600593"/>
  </r>
  <r>
    <x v="13"/>
    <x v="2"/>
    <d v="2024-11-12T00:00:00"/>
    <x v="0"/>
    <x v="6"/>
    <x v="7"/>
    <n v="17913"/>
    <n v="1311"/>
    <n v="859"/>
    <n v="405"/>
    <n v="59842"/>
    <n v="62612"/>
    <x v="3"/>
    <n v="0.32075321024723696"/>
  </r>
  <r>
    <x v="14"/>
    <x v="0"/>
    <d v="2025-02-27T00:00:00"/>
    <x v="2"/>
    <x v="5"/>
    <x v="6"/>
    <n v="16178"/>
    <n v="1048"/>
    <n v="871"/>
    <n v="2553"/>
    <n v="39025"/>
    <n v="59508"/>
    <x v="0"/>
    <n v="0.30411037171472743"/>
  </r>
  <r>
    <x v="15"/>
    <x v="1"/>
    <d v="2024-07-26T00:00:00"/>
    <x v="0"/>
    <x v="7"/>
    <x v="1"/>
    <n v="18282"/>
    <n v="224"/>
    <n v="962"/>
    <n v="890"/>
    <n v="35105"/>
    <n v="64089"/>
    <x v="1"/>
    <n v="0.30376507669022768"/>
  </r>
  <r>
    <x v="16"/>
    <x v="3"/>
    <d v="2024-07-15T00:00:00"/>
    <x v="1"/>
    <x v="0"/>
    <x v="0"/>
    <n v="14891"/>
    <n v="674"/>
    <n v="521"/>
    <n v="1091"/>
    <n v="18101"/>
    <n v="53669"/>
    <x v="0"/>
    <n v="0.29972609886526674"/>
  </r>
  <r>
    <x v="17"/>
    <x v="3"/>
    <d v="2024-10-15T00:00:00"/>
    <x v="3"/>
    <x v="1"/>
    <x v="1"/>
    <n v="17781"/>
    <n v="993"/>
    <n v="627"/>
    <n v="2187"/>
    <n v="9609"/>
    <n v="66155"/>
    <x v="1"/>
    <n v="0.29326581513113142"/>
  </r>
  <r>
    <x v="18"/>
    <x v="2"/>
    <d v="2025-09-18T00:00:00"/>
    <x v="1"/>
    <x v="7"/>
    <x v="1"/>
    <n v="10152"/>
    <n v="1445"/>
    <n v="526"/>
    <n v="513"/>
    <n v="18959"/>
    <n v="43712"/>
    <x v="4"/>
    <n v="0.27733803074670571"/>
  </r>
  <r>
    <x v="19"/>
    <x v="3"/>
    <d v="2025-10-02T00:00:00"/>
    <x v="3"/>
    <x v="6"/>
    <x v="7"/>
    <n v="12161"/>
    <n v="736"/>
    <n v="876"/>
    <n v="1233"/>
    <n v="21337"/>
    <n v="50225"/>
    <x v="4"/>
    <n v="0.27422598307615731"/>
  </r>
  <r>
    <x v="20"/>
    <x v="1"/>
    <d v="2025-09-04T00:00:00"/>
    <x v="0"/>
    <x v="2"/>
    <x v="2"/>
    <n v="21708"/>
    <n v="435"/>
    <n v="317"/>
    <n v="1213"/>
    <n v="70701"/>
    <n v="83585"/>
    <x v="4"/>
    <n v="0.26870850032900639"/>
  </r>
  <r>
    <x v="21"/>
    <x v="0"/>
    <d v="2024-06-13T00:00:00"/>
    <x v="2"/>
    <x v="2"/>
    <x v="2"/>
    <n v="14173"/>
    <n v="294"/>
    <n v="257"/>
    <n v="1288"/>
    <n v="39466"/>
    <n v="55563"/>
    <x v="2"/>
    <n v="0.26499649047027696"/>
  </r>
  <r>
    <x v="22"/>
    <x v="0"/>
    <d v="2024-08-22T00:00:00"/>
    <x v="0"/>
    <x v="8"/>
    <x v="8"/>
    <n v="16124"/>
    <n v="863"/>
    <n v="337"/>
    <n v="819"/>
    <n v="85788"/>
    <n v="68625"/>
    <x v="1"/>
    <n v="0.25244444444444447"/>
  </r>
  <r>
    <x v="23"/>
    <x v="1"/>
    <d v="2024-06-02T00:00:00"/>
    <x v="0"/>
    <x v="5"/>
    <x v="6"/>
    <n v="14199"/>
    <n v="1206"/>
    <n v="954"/>
    <n v="2009"/>
    <n v="8"/>
    <n v="65537"/>
    <x v="3"/>
    <n v="0.24961472145505592"/>
  </r>
  <r>
    <x v="24"/>
    <x v="2"/>
    <d v="2025-09-08T00:00:00"/>
    <x v="3"/>
    <x v="8"/>
    <x v="8"/>
    <n v="22309"/>
    <n v="773"/>
    <n v="854"/>
    <n v="2387"/>
    <n v="72396"/>
    <n v="97056"/>
    <x v="4"/>
    <n v="0.24662050774810418"/>
  </r>
  <r>
    <x v="25"/>
    <x v="3"/>
    <d v="2025-09-13T00:00:00"/>
    <x v="0"/>
    <x v="8"/>
    <x v="8"/>
    <n v="15046"/>
    <n v="281"/>
    <n v="515"/>
    <n v="550"/>
    <n v="22583"/>
    <n v="64596"/>
    <x v="4"/>
    <n v="0.24524738373893121"/>
  </r>
  <r>
    <x v="26"/>
    <x v="2"/>
    <d v="2024-11-07T00:00:00"/>
    <x v="3"/>
    <x v="1"/>
    <x v="1"/>
    <n v="17254"/>
    <n v="246"/>
    <n v="952"/>
    <n v="871"/>
    <n v="14957"/>
    <n v="75946"/>
    <x v="2"/>
    <n v="0.24296210465330631"/>
  </r>
  <r>
    <x v="27"/>
    <x v="3"/>
    <d v="2024-07-29T00:00:00"/>
    <x v="1"/>
    <x v="2"/>
    <x v="2"/>
    <n v="22590"/>
    <n v="1462"/>
    <n v="966"/>
    <n v="2463"/>
    <n v="29689"/>
    <n v="103449"/>
    <x v="3"/>
    <n v="0.24183897379385011"/>
  </r>
  <r>
    <x v="28"/>
    <x v="1"/>
    <d v="2024-06-13T00:00:00"/>
    <x v="3"/>
    <x v="4"/>
    <x v="5"/>
    <n v="23164"/>
    <n v="1122"/>
    <n v="900"/>
    <n v="888"/>
    <n v="36938"/>
    <n v="104674"/>
    <x v="0"/>
    <n v="0.24061371496264594"/>
  </r>
  <r>
    <x v="29"/>
    <x v="0"/>
    <d v="2025-09-05T00:00:00"/>
    <x v="2"/>
    <x v="1"/>
    <x v="1"/>
    <n v="14677"/>
    <n v="533"/>
    <n v="759"/>
    <n v="753"/>
    <n v="23275"/>
    <n v="66958"/>
    <x v="4"/>
    <n v="0.23849278652289496"/>
  </r>
  <r>
    <x v="30"/>
    <x v="3"/>
    <d v="2024-11-28T00:00:00"/>
    <x v="3"/>
    <x v="0"/>
    <x v="0"/>
    <n v="18644"/>
    <n v="1369"/>
    <n v="887"/>
    <n v="1256"/>
    <n v="43415"/>
    <n v="88368"/>
    <x v="3"/>
    <n v="0.23651095419156257"/>
  </r>
  <r>
    <x v="31"/>
    <x v="3"/>
    <d v="2024-08-24T00:00:00"/>
    <x v="0"/>
    <x v="6"/>
    <x v="7"/>
    <n v="24890"/>
    <n v="217"/>
    <n v="178"/>
    <n v="906"/>
    <n v="54826"/>
    <n v="107203"/>
    <x v="3"/>
    <n v="0.23586093672751696"/>
  </r>
  <r>
    <x v="32"/>
    <x v="1"/>
    <d v="2024-09-05T00:00:00"/>
    <x v="3"/>
    <x v="7"/>
    <x v="1"/>
    <n v="16489"/>
    <n v="395"/>
    <n v="350"/>
    <n v="2364"/>
    <n v="43239"/>
    <n v="73397"/>
    <x v="2"/>
    <n v="0.23480523727127811"/>
  </r>
  <r>
    <x v="33"/>
    <x v="1"/>
    <d v="2025-09-19T00:00:00"/>
    <x v="1"/>
    <x v="4"/>
    <x v="5"/>
    <n v="22128"/>
    <n v="1004"/>
    <n v="690"/>
    <n v="2048"/>
    <n v="19443"/>
    <n v="103646"/>
    <x v="4"/>
    <n v="0.22984003241803833"/>
  </r>
  <r>
    <x v="34"/>
    <x v="2"/>
    <d v="2024-06-14T00:00:00"/>
    <x v="3"/>
    <x v="9"/>
    <x v="9"/>
    <n v="21856"/>
    <n v="1203"/>
    <n v="634"/>
    <n v="2807"/>
    <n v="3647"/>
    <n v="104178"/>
    <x v="1"/>
    <n v="0.22742805582752595"/>
  </r>
  <r>
    <x v="35"/>
    <x v="0"/>
    <d v="2025-02-07T00:00:00"/>
    <x v="3"/>
    <x v="10"/>
    <x v="10"/>
    <n v="20290"/>
    <n v="619"/>
    <n v="927"/>
    <n v="1186"/>
    <n v="8924"/>
    <n v="96503"/>
    <x v="2"/>
    <n v="0.22627275835984373"/>
  </r>
  <r>
    <x v="36"/>
    <x v="2"/>
    <d v="2025-04-28T00:00:00"/>
    <x v="3"/>
    <x v="8"/>
    <x v="8"/>
    <n v="15013"/>
    <n v="1286"/>
    <n v="599"/>
    <n v="2001"/>
    <n v="67839"/>
    <n v="76059"/>
    <x v="0"/>
    <n v="0.22216963147030594"/>
  </r>
  <r>
    <x v="37"/>
    <x v="0"/>
    <d v="2025-05-02T00:00:00"/>
    <x v="1"/>
    <x v="3"/>
    <x v="3"/>
    <n v="17444"/>
    <n v="1402"/>
    <n v="218"/>
    <n v="725"/>
    <n v="8710"/>
    <n v="85893"/>
    <x v="2"/>
    <n v="0.22195056640238436"/>
  </r>
  <r>
    <x v="38"/>
    <x v="2"/>
    <d v="2024-12-22T00:00:00"/>
    <x v="1"/>
    <x v="10"/>
    <x v="10"/>
    <n v="7870"/>
    <n v="968"/>
    <n v="626"/>
    <n v="465"/>
    <n v="27184"/>
    <n v="44114"/>
    <x v="2"/>
    <n v="0.2145350682323072"/>
  </r>
  <r>
    <x v="39"/>
    <x v="2"/>
    <d v="2024-10-04T00:00:00"/>
    <x v="2"/>
    <x v="0"/>
    <x v="0"/>
    <n v="21729"/>
    <n v="1209"/>
    <n v="897"/>
    <n v="1624"/>
    <n v="38771"/>
    <n v="113297"/>
    <x v="1"/>
    <n v="0.21037626768581694"/>
  </r>
  <r>
    <x v="40"/>
    <x v="2"/>
    <d v="2025-09-15T00:00:00"/>
    <x v="2"/>
    <x v="0"/>
    <x v="0"/>
    <n v="18389"/>
    <n v="670"/>
    <n v="655"/>
    <n v="321"/>
    <n v="21869"/>
    <n v="96088"/>
    <x v="4"/>
    <n v="0.2051660977437349"/>
  </r>
  <r>
    <x v="41"/>
    <x v="2"/>
    <d v="2024-10-28T00:00:00"/>
    <x v="3"/>
    <x v="3"/>
    <x v="4"/>
    <n v="21198"/>
    <n v="1484"/>
    <n v="174"/>
    <n v="1293"/>
    <n v="16330"/>
    <n v="111635"/>
    <x v="1"/>
    <n v="0.20473865723115511"/>
  </r>
  <r>
    <x v="42"/>
    <x v="1"/>
    <d v="2025-03-05T00:00:00"/>
    <x v="3"/>
    <x v="3"/>
    <x v="3"/>
    <n v="12916"/>
    <n v="1262"/>
    <n v="772"/>
    <n v="856"/>
    <n v="11496"/>
    <n v="75046"/>
    <x v="3"/>
    <n v="0.19921115049436347"/>
  </r>
  <r>
    <x v="43"/>
    <x v="2"/>
    <d v="2024-10-11T00:00:00"/>
    <x v="3"/>
    <x v="9"/>
    <x v="9"/>
    <n v="19447"/>
    <n v="1014"/>
    <n v="256"/>
    <n v="2354"/>
    <n v="5472"/>
    <n v="104106"/>
    <x v="0"/>
    <n v="0.19899909707413599"/>
  </r>
  <r>
    <x v="44"/>
    <x v="1"/>
    <d v="2025-02-12T00:00:00"/>
    <x v="0"/>
    <x v="5"/>
    <x v="6"/>
    <n v="15234"/>
    <n v="1276"/>
    <n v="670"/>
    <n v="1860"/>
    <n v="60397"/>
    <n v="86413"/>
    <x v="2"/>
    <n v="0.19881267864788862"/>
  </r>
  <r>
    <x v="45"/>
    <x v="2"/>
    <d v="2024-12-11T00:00:00"/>
    <x v="3"/>
    <x v="9"/>
    <x v="9"/>
    <n v="22645"/>
    <n v="545"/>
    <n v="972"/>
    <n v="321"/>
    <n v="8396"/>
    <n v="121537"/>
    <x v="2"/>
    <n v="0.19880365649966678"/>
  </r>
  <r>
    <x v="46"/>
    <x v="0"/>
    <d v="2025-04-08T00:00:00"/>
    <x v="0"/>
    <x v="2"/>
    <x v="2"/>
    <n v="15568"/>
    <n v="1166"/>
    <n v="546"/>
    <n v="826"/>
    <n v="21836"/>
    <n v="87055"/>
    <x v="0"/>
    <n v="0.19849520418126471"/>
  </r>
  <r>
    <x v="47"/>
    <x v="0"/>
    <d v="2025-09-26T00:00:00"/>
    <x v="0"/>
    <x v="9"/>
    <x v="9"/>
    <n v="21216"/>
    <n v="226"/>
    <n v="187"/>
    <n v="1573"/>
    <n v="62688"/>
    <n v="111031"/>
    <x v="4"/>
    <n v="0.19480145184678152"/>
  </r>
  <r>
    <x v="48"/>
    <x v="3"/>
    <d v="2024-12-08T00:00:00"/>
    <x v="0"/>
    <x v="5"/>
    <x v="6"/>
    <n v="10427"/>
    <n v="1014"/>
    <n v="166"/>
    <n v="1649"/>
    <n v="15145"/>
    <n v="59816"/>
    <x v="3"/>
    <n v="0.19404507155276179"/>
  </r>
  <r>
    <x v="49"/>
    <x v="0"/>
    <d v="2025-03-28T00:00:00"/>
    <x v="2"/>
    <x v="4"/>
    <x v="5"/>
    <n v="13637"/>
    <n v="1135"/>
    <n v="540"/>
    <n v="1288"/>
    <n v="45183"/>
    <n v="79062"/>
    <x v="2"/>
    <n v="0.19367079001290127"/>
  </r>
  <r>
    <x v="50"/>
    <x v="0"/>
    <d v="2024-07-21T00:00:00"/>
    <x v="2"/>
    <x v="3"/>
    <x v="4"/>
    <n v="11911"/>
    <n v="1360"/>
    <n v="778"/>
    <n v="1168"/>
    <n v="16483"/>
    <n v="72556"/>
    <x v="3"/>
    <n v="0.19362974805667346"/>
  </r>
  <r>
    <x v="51"/>
    <x v="2"/>
    <d v="2024-08-13T00:00:00"/>
    <x v="3"/>
    <x v="10"/>
    <x v="10"/>
    <n v="6854"/>
    <n v="417"/>
    <n v="467"/>
    <n v="1003"/>
    <n v="61333"/>
    <n v="40281"/>
    <x v="0"/>
    <n v="0.19210049402944315"/>
  </r>
  <r>
    <x v="52"/>
    <x v="0"/>
    <d v="2025-02-24T00:00:00"/>
    <x v="1"/>
    <x v="9"/>
    <x v="9"/>
    <n v="24984"/>
    <n v="753"/>
    <n v="461"/>
    <n v="2710"/>
    <n v="20792"/>
    <n v="141520"/>
    <x v="3"/>
    <n v="0.18511871113623515"/>
  </r>
  <r>
    <x v="53"/>
    <x v="1"/>
    <d v="2025-10-04T00:00:00"/>
    <x v="0"/>
    <x v="10"/>
    <x v="10"/>
    <n v="12488"/>
    <n v="1403"/>
    <n v="247"/>
    <n v="1350"/>
    <n v="28370"/>
    <n v="76487"/>
    <x v="4"/>
    <n v="0.18484186855282597"/>
  </r>
  <r>
    <x v="54"/>
    <x v="3"/>
    <d v="2024-07-15T00:00:00"/>
    <x v="0"/>
    <x v="1"/>
    <x v="1"/>
    <n v="12554"/>
    <n v="381"/>
    <n v="211"/>
    <n v="2286"/>
    <n v="50567"/>
    <n v="72779"/>
    <x v="0"/>
    <n v="0.18062902760411656"/>
  </r>
  <r>
    <x v="55"/>
    <x v="1"/>
    <d v="2025-04-15T00:00:00"/>
    <x v="0"/>
    <x v="9"/>
    <x v="9"/>
    <n v="20977"/>
    <n v="1402"/>
    <n v="301"/>
    <n v="1284"/>
    <n v="24620"/>
    <n v="128009"/>
    <x v="0"/>
    <n v="0.17717504237983267"/>
  </r>
  <r>
    <x v="56"/>
    <x v="1"/>
    <d v="2024-10-29T00:00:00"/>
    <x v="1"/>
    <x v="3"/>
    <x v="3"/>
    <n v="23969"/>
    <n v="1433"/>
    <n v="372"/>
    <n v="1092"/>
    <n v="32147"/>
    <n v="145823"/>
    <x v="3"/>
    <n v="0.17674852389540743"/>
  </r>
  <r>
    <x v="57"/>
    <x v="2"/>
    <d v="2024-11-06T00:00:00"/>
    <x v="3"/>
    <x v="3"/>
    <x v="3"/>
    <n v="8938"/>
    <n v="800"/>
    <n v="842"/>
    <n v="2072"/>
    <n v="31736"/>
    <n v="59975"/>
    <x v="1"/>
    <n v="0.17640683618174238"/>
  </r>
  <r>
    <x v="58"/>
    <x v="3"/>
    <d v="2024-09-08T00:00:00"/>
    <x v="3"/>
    <x v="2"/>
    <x v="2"/>
    <n v="8090"/>
    <n v="570"/>
    <n v="399"/>
    <n v="1862"/>
    <n v="34088"/>
    <n v="52115"/>
    <x v="0"/>
    <n v="0.17382711311522595"/>
  </r>
  <r>
    <x v="59"/>
    <x v="0"/>
    <d v="2025-09-24T00:00:00"/>
    <x v="1"/>
    <x v="0"/>
    <x v="0"/>
    <n v="12209"/>
    <n v="222"/>
    <n v="479"/>
    <n v="2748"/>
    <n v="24615"/>
    <n v="74707"/>
    <x v="4"/>
    <n v="0.17280843829895459"/>
  </r>
  <r>
    <x v="60"/>
    <x v="0"/>
    <d v="2025-03-02T00:00:00"/>
    <x v="0"/>
    <x v="8"/>
    <x v="8"/>
    <n v="22562"/>
    <n v="778"/>
    <n v="907"/>
    <n v="1354"/>
    <n v="34475"/>
    <n v="141459"/>
    <x v="1"/>
    <n v="0.17140655596321194"/>
  </r>
  <r>
    <x v="61"/>
    <x v="0"/>
    <d v="2024-06-07T00:00:00"/>
    <x v="0"/>
    <x v="3"/>
    <x v="4"/>
    <n v="8233"/>
    <n v="436"/>
    <n v="269"/>
    <n v="2037"/>
    <n v="8875"/>
    <n v="52289"/>
    <x v="0"/>
    <n v="0.17093461339861157"/>
  </r>
  <r>
    <x v="62"/>
    <x v="0"/>
    <d v="2024-08-24T00:00:00"/>
    <x v="1"/>
    <x v="8"/>
    <x v="8"/>
    <n v="22527"/>
    <n v="865"/>
    <n v="646"/>
    <n v="992"/>
    <n v="18654"/>
    <n v="141376"/>
    <x v="2"/>
    <n v="0.17002885921231325"/>
  </r>
  <r>
    <x v="63"/>
    <x v="2"/>
    <d v="2024-08-11T00:00:00"/>
    <x v="3"/>
    <x v="5"/>
    <x v="6"/>
    <n v="14394"/>
    <n v="1202"/>
    <n v="188"/>
    <n v="1259"/>
    <n v="21925"/>
    <n v="94061"/>
    <x v="1"/>
    <n v="0.1678059982351878"/>
  </r>
  <r>
    <x v="64"/>
    <x v="0"/>
    <d v="2025-09-21T00:00:00"/>
    <x v="2"/>
    <x v="10"/>
    <x v="10"/>
    <n v="19680"/>
    <n v="999"/>
    <n v="838"/>
    <n v="891"/>
    <n v="29576"/>
    <n v="129152"/>
    <x v="4"/>
    <n v="0.16660214321110009"/>
  </r>
  <r>
    <x v="65"/>
    <x v="3"/>
    <d v="2025-09-21T00:00:00"/>
    <x v="0"/>
    <x v="2"/>
    <x v="2"/>
    <n v="23103"/>
    <n v="1380"/>
    <n v="191"/>
    <n v="1547"/>
    <n v="77798"/>
    <n v="148856"/>
    <x v="4"/>
    <n v="0.16575751061428495"/>
  </r>
  <r>
    <x v="66"/>
    <x v="1"/>
    <d v="2025-03-23T00:00:00"/>
    <x v="3"/>
    <x v="0"/>
    <x v="0"/>
    <n v="17728"/>
    <n v="1487"/>
    <n v="210"/>
    <n v="2469"/>
    <n v="30565"/>
    <n v="117576"/>
    <x v="0"/>
    <n v="0.16521228822208614"/>
  </r>
  <r>
    <x v="67"/>
    <x v="2"/>
    <d v="2024-07-18T00:00:00"/>
    <x v="0"/>
    <x v="2"/>
    <x v="2"/>
    <n v="16594"/>
    <n v="809"/>
    <n v="784"/>
    <n v="1655"/>
    <n v="35505"/>
    <n v="112588"/>
    <x v="3"/>
    <n v="0.16153586527871533"/>
  </r>
  <r>
    <x v="68"/>
    <x v="1"/>
    <d v="2025-09-20T00:00:00"/>
    <x v="2"/>
    <x v="3"/>
    <x v="3"/>
    <n v="18633"/>
    <n v="797"/>
    <n v="303"/>
    <n v="659"/>
    <n v="7"/>
    <n v="122189"/>
    <x v="4"/>
    <n v="0.16149571565361859"/>
  </r>
  <r>
    <x v="69"/>
    <x v="3"/>
    <d v="2024-08-01T00:00:00"/>
    <x v="2"/>
    <x v="6"/>
    <x v="7"/>
    <n v="21758"/>
    <n v="1380"/>
    <n v="188"/>
    <n v="1735"/>
    <n v="20998"/>
    <n v="147803"/>
    <x v="2"/>
    <n v="0.15781817689762725"/>
  </r>
  <r>
    <x v="70"/>
    <x v="1"/>
    <d v="2025-03-24T00:00:00"/>
    <x v="2"/>
    <x v="1"/>
    <x v="1"/>
    <n v="10172"/>
    <n v="1398"/>
    <n v="394"/>
    <n v="2358"/>
    <n v="59610"/>
    <n v="76321"/>
    <x v="1"/>
    <n v="0.15675895231980713"/>
  </r>
  <r>
    <x v="71"/>
    <x v="2"/>
    <d v="2024-07-03T00:00:00"/>
    <x v="1"/>
    <x v="0"/>
    <x v="0"/>
    <n v="14338"/>
    <n v="1454"/>
    <n v="697"/>
    <n v="2703"/>
    <n v="21288"/>
    <n v="107649"/>
    <x v="1"/>
    <n v="0.1531737405828201"/>
  </r>
  <r>
    <x v="72"/>
    <x v="3"/>
    <d v="2025-03-04T00:00:00"/>
    <x v="0"/>
    <x v="5"/>
    <x v="6"/>
    <n v="5266"/>
    <n v="316"/>
    <n v="837"/>
    <n v="2276"/>
    <n v="20967"/>
    <n v="41969"/>
    <x v="2"/>
    <n v="0.1529462222116324"/>
  </r>
  <r>
    <x v="73"/>
    <x v="1"/>
    <d v="2025-09-14T00:00:00"/>
    <x v="3"/>
    <x v="4"/>
    <x v="5"/>
    <n v="19844"/>
    <n v="1020"/>
    <n v="247"/>
    <n v="2354"/>
    <n v="37792"/>
    <n v="138317"/>
    <x v="4"/>
    <n v="0.15262765965138053"/>
  </r>
  <r>
    <x v="74"/>
    <x v="0"/>
    <d v="2025-03-04T00:00:00"/>
    <x v="3"/>
    <x v="9"/>
    <x v="9"/>
    <n v="13470"/>
    <n v="523"/>
    <n v="280"/>
    <n v="2682"/>
    <n v="8538"/>
    <n v="95204"/>
    <x v="0"/>
    <n v="0.14992017142136885"/>
  </r>
  <r>
    <x v="75"/>
    <x v="3"/>
    <d v="2025-01-30T00:00:00"/>
    <x v="1"/>
    <x v="8"/>
    <x v="8"/>
    <n v="12954"/>
    <n v="913"/>
    <n v="722"/>
    <n v="1049"/>
    <n v="475"/>
    <n v="97716"/>
    <x v="0"/>
    <n v="0.14930001228048631"/>
  </r>
  <r>
    <x v="76"/>
    <x v="0"/>
    <d v="2025-09-28T00:00:00"/>
    <x v="3"/>
    <x v="4"/>
    <x v="5"/>
    <n v="21963"/>
    <n v="1356"/>
    <n v="349"/>
    <n v="1206"/>
    <n v="51755"/>
    <n v="159273"/>
    <x v="4"/>
    <n v="0.14860020216860359"/>
  </r>
  <r>
    <x v="77"/>
    <x v="3"/>
    <d v="2025-09-14T00:00:00"/>
    <x v="3"/>
    <x v="3"/>
    <x v="3"/>
    <n v="12787"/>
    <n v="945"/>
    <n v="974"/>
    <n v="1407"/>
    <n v="4037"/>
    <n v="99182"/>
    <x v="4"/>
    <n v="0.14827287209372669"/>
  </r>
  <r>
    <x v="78"/>
    <x v="0"/>
    <d v="2025-03-23T00:00:00"/>
    <x v="2"/>
    <x v="6"/>
    <x v="7"/>
    <n v="24711"/>
    <n v="882"/>
    <n v="876"/>
    <n v="2728"/>
    <n v="32015"/>
    <n v="180272"/>
    <x v="1"/>
    <n v="0.1468281263867933"/>
  </r>
  <r>
    <x v="79"/>
    <x v="1"/>
    <d v="2025-09-12T00:00:00"/>
    <x v="0"/>
    <x v="0"/>
    <x v="0"/>
    <n v="15918"/>
    <n v="1114"/>
    <n v="392"/>
    <n v="1641"/>
    <n v="28044"/>
    <n v="118714"/>
    <x v="4"/>
    <n v="0.14677291642097814"/>
  </r>
  <r>
    <x v="80"/>
    <x v="3"/>
    <d v="2024-12-21T00:00:00"/>
    <x v="2"/>
    <x v="2"/>
    <x v="2"/>
    <n v="12453"/>
    <n v="376"/>
    <n v="320"/>
    <n v="2546"/>
    <n v="22617"/>
    <n v="90138"/>
    <x v="3"/>
    <n v="0.14587632297144379"/>
  </r>
  <r>
    <x v="81"/>
    <x v="0"/>
    <d v="2025-04-29T00:00:00"/>
    <x v="3"/>
    <x v="4"/>
    <x v="5"/>
    <n v="16277"/>
    <n v="1109"/>
    <n v="375"/>
    <n v="2225"/>
    <n v="1044"/>
    <n v="121889"/>
    <x v="1"/>
    <n v="0.14571454356012437"/>
  </r>
  <r>
    <x v="82"/>
    <x v="0"/>
    <d v="2025-09-07T00:00:00"/>
    <x v="1"/>
    <x v="10"/>
    <x v="10"/>
    <n v="4472"/>
    <n v="1301"/>
    <n v="956"/>
    <n v="1186"/>
    <n v="3363"/>
    <n v="46471"/>
    <x v="4"/>
    <n v="0.14479998278496267"/>
  </r>
  <r>
    <x v="83"/>
    <x v="0"/>
    <d v="2025-03-29T00:00:00"/>
    <x v="0"/>
    <x v="4"/>
    <x v="5"/>
    <n v="19461"/>
    <n v="1382"/>
    <n v="445"/>
    <n v="1307"/>
    <n v="84691"/>
    <n v="151453"/>
    <x v="1"/>
    <n v="0.14055845707909384"/>
  </r>
  <r>
    <x v="84"/>
    <x v="1"/>
    <d v="2024-11-21T00:00:00"/>
    <x v="2"/>
    <x v="4"/>
    <x v="5"/>
    <n v="8229"/>
    <n v="977"/>
    <n v="152"/>
    <n v="1633"/>
    <n v="71447"/>
    <n v="67723"/>
    <x v="2"/>
    <n v="0.13818052950991538"/>
  </r>
  <r>
    <x v="85"/>
    <x v="1"/>
    <d v="2025-10-13T00:00:00"/>
    <x v="0"/>
    <x v="3"/>
    <x v="3"/>
    <n v="19302"/>
    <n v="1367"/>
    <n v="188"/>
    <n v="637"/>
    <n v="31404"/>
    <n v="154044"/>
    <x v="4"/>
    <n v="0.13539638025499209"/>
  </r>
  <r>
    <x v="86"/>
    <x v="3"/>
    <d v="2024-07-07T00:00:00"/>
    <x v="1"/>
    <x v="5"/>
    <x v="6"/>
    <n v="24625"/>
    <n v="749"/>
    <n v="193"/>
    <n v="1340"/>
    <n v="4890"/>
    <n v="189381"/>
    <x v="0"/>
    <n v="0.13500298340382616"/>
  </r>
  <r>
    <x v="87"/>
    <x v="3"/>
    <d v="2025-09-13T00:00:00"/>
    <x v="3"/>
    <x v="0"/>
    <x v="0"/>
    <n v="17106"/>
    <n v="702"/>
    <n v="459"/>
    <n v="999"/>
    <n v="59627"/>
    <n v="136059"/>
    <x v="4"/>
    <n v="0.13425793222058077"/>
  </r>
  <r>
    <x v="88"/>
    <x v="1"/>
    <d v="2024-11-12T00:00:00"/>
    <x v="2"/>
    <x v="5"/>
    <x v="6"/>
    <n v="19022"/>
    <n v="541"/>
    <n v="575"/>
    <n v="2063"/>
    <n v="42743"/>
    <n v="150169"/>
    <x v="0"/>
    <n v="0.13410224480418728"/>
  </r>
  <r>
    <x v="89"/>
    <x v="3"/>
    <d v="2025-01-28T00:00:00"/>
    <x v="1"/>
    <x v="4"/>
    <x v="5"/>
    <n v="9239"/>
    <n v="1477"/>
    <n v="631"/>
    <n v="1556"/>
    <n v="11580"/>
    <n v="84738"/>
    <x v="3"/>
    <n v="0.13390686586891359"/>
  </r>
  <r>
    <x v="90"/>
    <x v="1"/>
    <d v="2024-10-21T00:00:00"/>
    <x v="1"/>
    <x v="9"/>
    <x v="9"/>
    <n v="20777"/>
    <n v="962"/>
    <n v="308"/>
    <n v="2777"/>
    <n v="25529"/>
    <n v="165354"/>
    <x v="0"/>
    <n v="0.13333212380710477"/>
  </r>
  <r>
    <x v="91"/>
    <x v="2"/>
    <d v="2025-03-03T00:00:00"/>
    <x v="3"/>
    <x v="3"/>
    <x v="3"/>
    <n v="24928"/>
    <n v="214"/>
    <n v="765"/>
    <n v="1556"/>
    <n v="5239"/>
    <n v="194571"/>
    <x v="2"/>
    <n v="0.13314933880177415"/>
  </r>
  <r>
    <x v="92"/>
    <x v="1"/>
    <d v="2025-02-20T00:00:00"/>
    <x v="3"/>
    <x v="9"/>
    <x v="9"/>
    <n v="15703"/>
    <n v="1381"/>
    <n v="639"/>
    <n v="984"/>
    <n v="10967"/>
    <n v="133747"/>
    <x v="2"/>
    <n v="0.13251138343289942"/>
  </r>
  <r>
    <x v="93"/>
    <x v="3"/>
    <d v="2024-06-24T00:00:00"/>
    <x v="3"/>
    <x v="0"/>
    <x v="0"/>
    <n v="7713"/>
    <n v="575"/>
    <n v="417"/>
    <n v="336"/>
    <n v="61660"/>
    <n v="66017"/>
    <x v="1"/>
    <n v="0.13185997546086614"/>
  </r>
  <r>
    <x v="94"/>
    <x v="3"/>
    <d v="2025-09-25T00:00:00"/>
    <x v="2"/>
    <x v="1"/>
    <x v="1"/>
    <n v="20564"/>
    <n v="1433"/>
    <n v="488"/>
    <n v="1015"/>
    <n v="24333"/>
    <n v="172130"/>
    <x v="4"/>
    <n v="0.13062801371056759"/>
  </r>
  <r>
    <x v="95"/>
    <x v="2"/>
    <d v="2024-06-19T00:00:00"/>
    <x v="3"/>
    <x v="8"/>
    <x v="8"/>
    <n v="20444"/>
    <n v="233"/>
    <n v="189"/>
    <n v="2879"/>
    <n v="28185"/>
    <n v="159891"/>
    <x v="1"/>
    <n v="0.13050140408153055"/>
  </r>
  <r>
    <x v="96"/>
    <x v="1"/>
    <d v="2024-12-23T00:00:00"/>
    <x v="2"/>
    <x v="2"/>
    <x v="2"/>
    <n v="24516"/>
    <n v="976"/>
    <n v="974"/>
    <n v="2675"/>
    <n v="23275"/>
    <n v="202932"/>
    <x v="0"/>
    <n v="0.13041807107799658"/>
  </r>
  <r>
    <x v="97"/>
    <x v="0"/>
    <d v="2024-12-09T00:00:00"/>
    <x v="2"/>
    <x v="5"/>
    <x v="6"/>
    <n v="15051"/>
    <n v="268"/>
    <n v="251"/>
    <n v="783"/>
    <n v="34154"/>
    <n v="119671"/>
    <x v="1"/>
    <n v="0.13010670922779954"/>
  </r>
  <r>
    <x v="98"/>
    <x v="1"/>
    <d v="2025-02-24T00:00:00"/>
    <x v="2"/>
    <x v="3"/>
    <x v="3"/>
    <n v="23949"/>
    <n v="356"/>
    <n v="616"/>
    <n v="1847"/>
    <n v="3144"/>
    <n v="192999"/>
    <x v="1"/>
    <n v="0.12912502137316773"/>
  </r>
  <r>
    <x v="99"/>
    <x v="3"/>
    <d v="2025-03-29T00:00:00"/>
    <x v="3"/>
    <x v="6"/>
    <x v="7"/>
    <n v="23508"/>
    <n v="585"/>
    <n v="743"/>
    <n v="2155"/>
    <n v="3704"/>
    <n v="194268"/>
    <x v="1"/>
    <n v="0.1278440093067309"/>
  </r>
  <r>
    <x v="100"/>
    <x v="1"/>
    <d v="2024-10-02T00:00:00"/>
    <x v="0"/>
    <x v="0"/>
    <x v="0"/>
    <n v="5086"/>
    <n v="1336"/>
    <n v="897"/>
    <n v="1715"/>
    <n v="60592"/>
    <n v="57772"/>
    <x v="3"/>
    <n v="0.12668766876687668"/>
  </r>
  <r>
    <x v="101"/>
    <x v="1"/>
    <d v="2024-11-28T00:00:00"/>
    <x v="3"/>
    <x v="9"/>
    <x v="9"/>
    <n v="19055"/>
    <n v="443"/>
    <n v="976"/>
    <n v="869"/>
    <n v="75437"/>
    <n v="161863"/>
    <x v="3"/>
    <n v="0.12648968572187591"/>
  </r>
  <r>
    <x v="102"/>
    <x v="0"/>
    <d v="2025-09-23T00:00:00"/>
    <x v="1"/>
    <x v="3"/>
    <x v="3"/>
    <n v="17147"/>
    <n v="286"/>
    <n v="291"/>
    <n v="2439"/>
    <n v="45631"/>
    <n v="140494"/>
    <x v="4"/>
    <n v="0.12615485358805359"/>
  </r>
  <r>
    <x v="103"/>
    <x v="0"/>
    <d v="2025-01-23T00:00:00"/>
    <x v="0"/>
    <x v="9"/>
    <x v="9"/>
    <n v="23168"/>
    <n v="1265"/>
    <n v="441"/>
    <n v="1612"/>
    <n v="66615"/>
    <n v="197795"/>
    <x v="1"/>
    <n v="0.12575646502692181"/>
  </r>
  <r>
    <x v="104"/>
    <x v="2"/>
    <d v="2024-10-17T00:00:00"/>
    <x v="0"/>
    <x v="6"/>
    <x v="7"/>
    <n v="18608"/>
    <n v="1338"/>
    <n v="365"/>
    <n v="2289"/>
    <n v="20785"/>
    <n v="161999"/>
    <x v="0"/>
    <n v="0.12537731714393299"/>
  </r>
  <r>
    <x v="105"/>
    <x v="0"/>
    <d v="2024-10-21T00:00:00"/>
    <x v="2"/>
    <x v="9"/>
    <x v="9"/>
    <n v="20271"/>
    <n v="512"/>
    <n v="286"/>
    <n v="1982"/>
    <n v="43225"/>
    <n v="168335"/>
    <x v="1"/>
    <n v="0.12516113701844536"/>
  </r>
  <r>
    <x v="106"/>
    <x v="3"/>
    <d v="2025-04-19T00:00:00"/>
    <x v="3"/>
    <x v="7"/>
    <x v="1"/>
    <n v="20384"/>
    <n v="344"/>
    <n v="956"/>
    <n v="655"/>
    <n v="67621"/>
    <n v="175720"/>
    <x v="3"/>
    <n v="0.12340086501251991"/>
  </r>
  <r>
    <x v="107"/>
    <x v="0"/>
    <d v="2024-10-28T00:00:00"/>
    <x v="3"/>
    <x v="8"/>
    <x v="8"/>
    <n v="8981"/>
    <n v="1138"/>
    <n v="764"/>
    <n v="2555"/>
    <n v="92810"/>
    <n v="88320"/>
    <x v="2"/>
    <n v="0.1232223731884058"/>
  </r>
  <r>
    <x v="108"/>
    <x v="1"/>
    <d v="2024-07-23T00:00:00"/>
    <x v="0"/>
    <x v="8"/>
    <x v="8"/>
    <n v="24877"/>
    <n v="262"/>
    <n v="513"/>
    <n v="648"/>
    <n v="47544"/>
    <n v="208280"/>
    <x v="3"/>
    <n v="0.12316112924908777"/>
  </r>
  <r>
    <x v="109"/>
    <x v="2"/>
    <d v="2024-08-08T00:00:00"/>
    <x v="3"/>
    <x v="4"/>
    <x v="5"/>
    <n v="24355"/>
    <n v="1087"/>
    <n v="686"/>
    <n v="2426"/>
    <n v="24963"/>
    <n v="212307"/>
    <x v="0"/>
    <n v="0.1230670679723231"/>
  </r>
  <r>
    <x v="110"/>
    <x v="0"/>
    <d v="2025-09-26T00:00:00"/>
    <x v="3"/>
    <x v="2"/>
    <x v="2"/>
    <n v="16369"/>
    <n v="1452"/>
    <n v="493"/>
    <n v="1217"/>
    <n v="91440"/>
    <n v="149834"/>
    <x v="4"/>
    <n v="0.12222859965027964"/>
  </r>
  <r>
    <x v="111"/>
    <x v="2"/>
    <d v="2024-07-26T00:00:00"/>
    <x v="1"/>
    <x v="4"/>
    <x v="5"/>
    <n v="12176"/>
    <n v="1005"/>
    <n v="862"/>
    <n v="974"/>
    <n v="2285"/>
    <n v="116619"/>
    <x v="1"/>
    <n v="0.12041777068916729"/>
  </r>
  <r>
    <x v="112"/>
    <x v="2"/>
    <d v="2024-07-01T00:00:00"/>
    <x v="0"/>
    <x v="6"/>
    <x v="7"/>
    <n v="3761"/>
    <n v="651"/>
    <n v="493"/>
    <n v="2294"/>
    <n v="71696"/>
    <n v="41177"/>
    <x v="0"/>
    <n v="0.11911989702989532"/>
  </r>
  <r>
    <x v="113"/>
    <x v="0"/>
    <d v="2024-06-01T00:00:00"/>
    <x v="2"/>
    <x v="0"/>
    <x v="0"/>
    <n v="19844"/>
    <n v="1022"/>
    <n v="860"/>
    <n v="2570"/>
    <n v="23719"/>
    <n v="182628"/>
    <x v="3"/>
    <n v="0.11896313818253498"/>
  </r>
  <r>
    <x v="114"/>
    <x v="2"/>
    <d v="2024-06-21T00:00:00"/>
    <x v="0"/>
    <x v="3"/>
    <x v="4"/>
    <n v="21216"/>
    <n v="1207"/>
    <n v="859"/>
    <n v="328"/>
    <n v="91296"/>
    <n v="196683"/>
    <x v="3"/>
    <n v="0.1183732198512327"/>
  </r>
  <r>
    <x v="115"/>
    <x v="3"/>
    <d v="2024-07-31T00:00:00"/>
    <x v="2"/>
    <x v="2"/>
    <x v="2"/>
    <n v="12357"/>
    <n v="716"/>
    <n v="599"/>
    <n v="999"/>
    <n v="89591"/>
    <n v="116367"/>
    <x v="0"/>
    <n v="0.11749035379446063"/>
  </r>
  <r>
    <x v="116"/>
    <x v="3"/>
    <d v="2025-09-22T00:00:00"/>
    <x v="3"/>
    <x v="1"/>
    <x v="1"/>
    <n v="18509"/>
    <n v="361"/>
    <n v="578"/>
    <n v="1409"/>
    <n v="10569"/>
    <n v="166969"/>
    <x v="4"/>
    <n v="0.11647671124580011"/>
  </r>
  <r>
    <x v="117"/>
    <x v="1"/>
    <d v="2024-06-22T00:00:00"/>
    <x v="1"/>
    <x v="4"/>
    <x v="5"/>
    <n v="7342"/>
    <n v="906"/>
    <n v="902"/>
    <n v="1199"/>
    <n v="68488"/>
    <n v="79310"/>
    <x v="0"/>
    <n v="0.1153700668263775"/>
  </r>
  <r>
    <x v="118"/>
    <x v="2"/>
    <d v="2024-11-08T00:00:00"/>
    <x v="1"/>
    <x v="3"/>
    <x v="4"/>
    <n v="23499"/>
    <n v="562"/>
    <n v="964"/>
    <n v="2557"/>
    <n v="56890"/>
    <n v="218686"/>
    <x v="1"/>
    <n v="0.11443347996671026"/>
  </r>
  <r>
    <x v="119"/>
    <x v="0"/>
    <d v="2024-10-02T00:00:00"/>
    <x v="2"/>
    <x v="6"/>
    <x v="7"/>
    <n v="15716"/>
    <n v="839"/>
    <n v="639"/>
    <n v="2839"/>
    <n v="349"/>
    <n v="150677"/>
    <x v="3"/>
    <n v="0.11411164278556117"/>
  </r>
  <r>
    <x v="120"/>
    <x v="0"/>
    <d v="2024-06-10T00:00:00"/>
    <x v="0"/>
    <x v="0"/>
    <x v="0"/>
    <n v="21561"/>
    <n v="340"/>
    <n v="741"/>
    <n v="986"/>
    <n v="24826"/>
    <n v="198492"/>
    <x v="0"/>
    <n v="0.11407008846704149"/>
  </r>
  <r>
    <x v="121"/>
    <x v="1"/>
    <d v="2025-10-06T00:00:00"/>
    <x v="0"/>
    <x v="6"/>
    <x v="7"/>
    <n v="22028"/>
    <n v="355"/>
    <n v="665"/>
    <n v="1859"/>
    <n v="50565"/>
    <n v="202962"/>
    <x v="4"/>
    <n v="0.11355820301337197"/>
  </r>
  <r>
    <x v="122"/>
    <x v="2"/>
    <d v="2024-09-17T00:00:00"/>
    <x v="1"/>
    <x v="9"/>
    <x v="9"/>
    <n v="20017"/>
    <n v="495"/>
    <n v="178"/>
    <n v="2683"/>
    <n v="32244"/>
    <n v="182633"/>
    <x v="0"/>
    <n v="0.11328730295182141"/>
  </r>
  <r>
    <x v="123"/>
    <x v="3"/>
    <d v="2025-01-10T00:00:00"/>
    <x v="3"/>
    <x v="8"/>
    <x v="8"/>
    <n v="14647"/>
    <n v="1168"/>
    <n v="484"/>
    <n v="2650"/>
    <n v="27217"/>
    <n v="144061"/>
    <x v="1"/>
    <n v="0.11313957281984714"/>
  </r>
  <r>
    <x v="124"/>
    <x v="3"/>
    <d v="2025-10-05T00:00:00"/>
    <x v="1"/>
    <x v="0"/>
    <x v="0"/>
    <n v="21262"/>
    <n v="861"/>
    <n v="676"/>
    <n v="2263"/>
    <n v="12085"/>
    <n v="201731"/>
    <x v="4"/>
    <n v="0.11301683925623726"/>
  </r>
  <r>
    <x v="125"/>
    <x v="1"/>
    <d v="2024-08-15T00:00:00"/>
    <x v="2"/>
    <x v="9"/>
    <x v="9"/>
    <n v="15503"/>
    <n v="313"/>
    <n v="388"/>
    <n v="1078"/>
    <n v="11500"/>
    <n v="143754"/>
    <x v="1"/>
    <n v="0.1127203416948398"/>
  </r>
  <r>
    <x v="126"/>
    <x v="2"/>
    <d v="2024-09-02T00:00:00"/>
    <x v="3"/>
    <x v="3"/>
    <x v="4"/>
    <n v="12040"/>
    <n v="1147"/>
    <n v="210"/>
    <n v="885"/>
    <n v="30360"/>
    <n v="119530"/>
    <x v="1"/>
    <n v="0.1120806492094035"/>
  </r>
  <r>
    <x v="127"/>
    <x v="0"/>
    <d v="2024-10-21T00:00:00"/>
    <x v="1"/>
    <x v="5"/>
    <x v="6"/>
    <n v="19715"/>
    <n v="1014"/>
    <n v="718"/>
    <n v="1185"/>
    <n v="37625"/>
    <n v="191409"/>
    <x v="0"/>
    <n v="0.11204802282024356"/>
  </r>
  <r>
    <x v="128"/>
    <x v="2"/>
    <d v="2024-06-20T00:00:00"/>
    <x v="0"/>
    <x v="4"/>
    <x v="5"/>
    <n v="21123"/>
    <n v="1343"/>
    <n v="589"/>
    <n v="727"/>
    <n v="87833"/>
    <n v="206703"/>
    <x v="0"/>
    <n v="0.11153684271636116"/>
  </r>
  <r>
    <x v="129"/>
    <x v="0"/>
    <d v="2024-06-23T00:00:00"/>
    <x v="1"/>
    <x v="3"/>
    <x v="3"/>
    <n v="16512"/>
    <n v="1050"/>
    <n v="971"/>
    <n v="1891"/>
    <n v="15865"/>
    <n v="166503"/>
    <x v="1"/>
    <n v="0.1113073037723044"/>
  </r>
  <r>
    <x v="130"/>
    <x v="3"/>
    <d v="2025-05-12T00:00:00"/>
    <x v="1"/>
    <x v="6"/>
    <x v="7"/>
    <n v="19308"/>
    <n v="1318"/>
    <n v="795"/>
    <n v="1499"/>
    <n v="52307"/>
    <n v="193087"/>
    <x v="3"/>
    <n v="0.11093962825047776"/>
  </r>
  <r>
    <x v="131"/>
    <x v="1"/>
    <d v="2024-06-05T00:00:00"/>
    <x v="1"/>
    <x v="8"/>
    <x v="8"/>
    <n v="18907"/>
    <n v="1075"/>
    <n v="675"/>
    <n v="1383"/>
    <n v="17875"/>
    <n v="186649"/>
    <x v="0"/>
    <n v="0.11067297440650634"/>
  </r>
  <r>
    <x v="132"/>
    <x v="1"/>
    <d v="2024-09-17T00:00:00"/>
    <x v="0"/>
    <x v="0"/>
    <x v="0"/>
    <n v="20410"/>
    <n v="1332"/>
    <n v="472"/>
    <n v="1202"/>
    <n v="9418"/>
    <n v="200806"/>
    <x v="0"/>
    <n v="0.11062418453631864"/>
  </r>
  <r>
    <x v="133"/>
    <x v="0"/>
    <d v="2024-12-22T00:00:00"/>
    <x v="1"/>
    <x v="3"/>
    <x v="4"/>
    <n v="20117"/>
    <n v="1143"/>
    <n v="713"/>
    <n v="1739"/>
    <n v="34444"/>
    <n v="198670"/>
    <x v="2"/>
    <n v="0.11060049328031409"/>
  </r>
  <r>
    <x v="134"/>
    <x v="0"/>
    <d v="2024-10-03T00:00:00"/>
    <x v="2"/>
    <x v="3"/>
    <x v="4"/>
    <n v="22618"/>
    <n v="641"/>
    <n v="416"/>
    <n v="1530"/>
    <n v="18395"/>
    <n v="215211"/>
    <x v="2"/>
    <n v="0.1100083174187193"/>
  </r>
  <r>
    <x v="135"/>
    <x v="2"/>
    <d v="2024-08-05T00:00:00"/>
    <x v="0"/>
    <x v="2"/>
    <x v="2"/>
    <n v="20935"/>
    <n v="1104"/>
    <n v="876"/>
    <n v="1270"/>
    <n v="21454"/>
    <n v="208722"/>
    <x v="3"/>
    <n v="0.10978718103506099"/>
  </r>
  <r>
    <x v="136"/>
    <x v="3"/>
    <d v="2025-01-01T00:00:00"/>
    <x v="0"/>
    <x v="5"/>
    <x v="6"/>
    <n v="24574"/>
    <n v="909"/>
    <n v="280"/>
    <n v="2009"/>
    <n v="6221"/>
    <n v="236910"/>
    <x v="2"/>
    <n v="0.10874593727575872"/>
  </r>
  <r>
    <x v="137"/>
    <x v="0"/>
    <d v="2025-09-11T00:00:00"/>
    <x v="3"/>
    <x v="9"/>
    <x v="9"/>
    <n v="10175"/>
    <n v="342"/>
    <n v="825"/>
    <n v="2904"/>
    <n v="15954"/>
    <n v="104324"/>
    <x v="4"/>
    <n v="0.10871899083624094"/>
  </r>
  <r>
    <x v="138"/>
    <x v="2"/>
    <d v="2024-12-17T00:00:00"/>
    <x v="2"/>
    <x v="4"/>
    <x v="5"/>
    <n v="20030"/>
    <n v="485"/>
    <n v="888"/>
    <n v="1643"/>
    <n v="4322"/>
    <n v="196995"/>
    <x v="3"/>
    <n v="0.10864742759968526"/>
  </r>
  <r>
    <x v="139"/>
    <x v="2"/>
    <d v="2025-09-19T00:00:00"/>
    <x v="2"/>
    <x v="4"/>
    <x v="5"/>
    <n v="19100"/>
    <n v="619"/>
    <n v="297"/>
    <n v="2312"/>
    <n v="9730"/>
    <n v="184832"/>
    <x v="4"/>
    <n v="0.10829293628808864"/>
  </r>
  <r>
    <x v="140"/>
    <x v="3"/>
    <d v="2025-09-20T00:00:00"/>
    <x v="2"/>
    <x v="4"/>
    <x v="5"/>
    <n v="12267"/>
    <n v="1487"/>
    <n v="489"/>
    <n v="2748"/>
    <n v="34685"/>
    <n v="131736"/>
    <x v="4"/>
    <n v="0.1081177506528208"/>
  </r>
  <r>
    <x v="141"/>
    <x v="2"/>
    <d v="2025-01-18T00:00:00"/>
    <x v="1"/>
    <x v="8"/>
    <x v="8"/>
    <n v="22673"/>
    <n v="1053"/>
    <n v="169"/>
    <n v="1566"/>
    <n v="9417"/>
    <n v="221187"/>
    <x v="1"/>
    <n v="0.10803076130152314"/>
  </r>
  <r>
    <x v="142"/>
    <x v="0"/>
    <d v="2025-04-13T00:00:00"/>
    <x v="3"/>
    <x v="7"/>
    <x v="1"/>
    <n v="24700"/>
    <n v="327"/>
    <n v="999"/>
    <n v="994"/>
    <n v="59400"/>
    <n v="243502"/>
    <x v="3"/>
    <n v="0.10688207899729776"/>
  </r>
  <r>
    <x v="143"/>
    <x v="1"/>
    <d v="2025-10-11T00:00:00"/>
    <x v="3"/>
    <x v="4"/>
    <x v="5"/>
    <n v="15623"/>
    <n v="869"/>
    <n v="423"/>
    <n v="371"/>
    <n v="47579"/>
    <n v="158516"/>
    <x v="4"/>
    <n v="0.10670847106916652"/>
  </r>
  <r>
    <x v="144"/>
    <x v="1"/>
    <d v="2024-12-23T00:00:00"/>
    <x v="0"/>
    <x v="6"/>
    <x v="7"/>
    <n v="18616"/>
    <n v="1277"/>
    <n v="734"/>
    <n v="2249"/>
    <n v="3399"/>
    <n v="193515"/>
    <x v="1"/>
    <n v="0.10659122031883833"/>
  </r>
  <r>
    <x v="145"/>
    <x v="0"/>
    <d v="2025-03-27T00:00:00"/>
    <x v="1"/>
    <x v="8"/>
    <x v="8"/>
    <n v="14819"/>
    <n v="1432"/>
    <n v="152"/>
    <n v="961"/>
    <n v="39154"/>
    <n v="154793"/>
    <x v="1"/>
    <n v="0.10596732410380315"/>
  </r>
  <r>
    <x v="146"/>
    <x v="0"/>
    <d v="2025-09-19T00:00:00"/>
    <x v="3"/>
    <x v="3"/>
    <x v="4"/>
    <n v="14772"/>
    <n v="1030"/>
    <n v="508"/>
    <n v="1876"/>
    <n v="8882"/>
    <n v="155142"/>
    <x v="4"/>
    <n v="0.10512949426976577"/>
  </r>
  <r>
    <x v="147"/>
    <x v="0"/>
    <d v="2025-02-11T00:00:00"/>
    <x v="3"/>
    <x v="10"/>
    <x v="10"/>
    <n v="3619"/>
    <n v="1376"/>
    <n v="410"/>
    <n v="2499"/>
    <n v="58146"/>
    <n v="52149"/>
    <x v="0"/>
    <n v="0.10364532397553165"/>
  </r>
  <r>
    <x v="148"/>
    <x v="0"/>
    <d v="2025-09-11T00:00:00"/>
    <x v="0"/>
    <x v="0"/>
    <x v="0"/>
    <n v="21901"/>
    <n v="1308"/>
    <n v="724"/>
    <n v="2183"/>
    <n v="15996"/>
    <n v="230961"/>
    <x v="4"/>
    <n v="0.10362355549205277"/>
  </r>
  <r>
    <x v="149"/>
    <x v="0"/>
    <d v="2025-03-06T00:00:00"/>
    <x v="1"/>
    <x v="9"/>
    <x v="9"/>
    <n v="22119"/>
    <n v="899"/>
    <n v="642"/>
    <n v="410"/>
    <n v="49490"/>
    <n v="229420"/>
    <x v="1"/>
    <n v="0.10312963124400662"/>
  </r>
  <r>
    <x v="150"/>
    <x v="0"/>
    <d v="2025-09-20T00:00:00"/>
    <x v="2"/>
    <x v="1"/>
    <x v="1"/>
    <n v="24422"/>
    <n v="327"/>
    <n v="481"/>
    <n v="2371"/>
    <n v="35340"/>
    <n v="245244"/>
    <x v="4"/>
    <n v="0.10287713460879777"/>
  </r>
  <r>
    <x v="151"/>
    <x v="2"/>
    <d v="2024-10-22T00:00:00"/>
    <x v="3"/>
    <x v="6"/>
    <x v="7"/>
    <n v="7622"/>
    <n v="529"/>
    <n v="720"/>
    <n v="1015"/>
    <n v="71322"/>
    <n v="86819"/>
    <x v="2"/>
    <n v="0.10217809465669957"/>
  </r>
  <r>
    <x v="152"/>
    <x v="3"/>
    <d v="2025-02-16T00:00:00"/>
    <x v="1"/>
    <x v="3"/>
    <x v="3"/>
    <n v="24195"/>
    <n v="888"/>
    <n v="165"/>
    <n v="1559"/>
    <n v="11596"/>
    <n v="249988"/>
    <x v="3"/>
    <n v="0.10099684784869674"/>
  </r>
  <r>
    <x v="153"/>
    <x v="3"/>
    <d v="2024-10-02T00:00:00"/>
    <x v="0"/>
    <x v="8"/>
    <x v="8"/>
    <n v="9350"/>
    <n v="1024"/>
    <n v="550"/>
    <n v="2123"/>
    <n v="53916"/>
    <n v="108785"/>
    <x v="3"/>
    <n v="0.10041825619340902"/>
  </r>
  <r>
    <x v="154"/>
    <x v="3"/>
    <d v="2024-07-18T00:00:00"/>
    <x v="0"/>
    <x v="7"/>
    <x v="1"/>
    <n v="11111"/>
    <n v="1222"/>
    <n v="367"/>
    <n v="507"/>
    <n v="14129"/>
    <n v="127163"/>
    <x v="2"/>
    <n v="9.9871818060284834E-2"/>
  </r>
  <r>
    <x v="155"/>
    <x v="2"/>
    <d v="2025-10-07T00:00:00"/>
    <x v="3"/>
    <x v="4"/>
    <x v="5"/>
    <n v="19660"/>
    <n v="1307"/>
    <n v="310"/>
    <n v="2802"/>
    <n v="22171"/>
    <n v="213359"/>
    <x v="4"/>
    <n v="9.9723939463533293E-2"/>
  </r>
  <r>
    <x v="156"/>
    <x v="2"/>
    <d v="2025-03-11T00:00:00"/>
    <x v="0"/>
    <x v="9"/>
    <x v="9"/>
    <n v="20222"/>
    <n v="712"/>
    <n v="604"/>
    <n v="1272"/>
    <n v="71598"/>
    <n v="216422"/>
    <x v="3"/>
    <n v="9.9518533235992648E-2"/>
  </r>
  <r>
    <x v="157"/>
    <x v="2"/>
    <d v="2025-09-27T00:00:00"/>
    <x v="1"/>
    <x v="5"/>
    <x v="6"/>
    <n v="18521"/>
    <n v="1027"/>
    <n v="230"/>
    <n v="1247"/>
    <n v="39588"/>
    <n v="200928"/>
    <x v="4"/>
    <n v="9.8433269628921807E-2"/>
  </r>
  <r>
    <x v="158"/>
    <x v="2"/>
    <d v="2024-11-04T00:00:00"/>
    <x v="0"/>
    <x v="1"/>
    <x v="1"/>
    <n v="14234"/>
    <n v="1013"/>
    <n v="437"/>
    <n v="338"/>
    <n v="67754"/>
    <n v="160030"/>
    <x v="3"/>
    <n v="9.8006623758045364E-2"/>
  </r>
  <r>
    <x v="159"/>
    <x v="0"/>
    <d v="2025-09-16T00:00:00"/>
    <x v="2"/>
    <x v="7"/>
    <x v="1"/>
    <n v="16043"/>
    <n v="595"/>
    <n v="923"/>
    <n v="1194"/>
    <n v="52613"/>
    <n v="179978"/>
    <x v="4"/>
    <n v="9.757303670448611E-2"/>
  </r>
  <r>
    <x v="160"/>
    <x v="2"/>
    <d v="2024-11-14T00:00:00"/>
    <x v="2"/>
    <x v="6"/>
    <x v="7"/>
    <n v="6300"/>
    <n v="1213"/>
    <n v="720"/>
    <n v="1037"/>
    <n v="39569"/>
    <n v="85272"/>
    <x v="1"/>
    <n v="9.6549863964724647E-2"/>
  </r>
  <r>
    <x v="161"/>
    <x v="0"/>
    <d v="2024-06-24T00:00:00"/>
    <x v="1"/>
    <x v="5"/>
    <x v="6"/>
    <n v="5596"/>
    <n v="1231"/>
    <n v="473"/>
    <n v="2251"/>
    <n v="43705"/>
    <n v="75643"/>
    <x v="0"/>
    <n v="9.6505955607260427E-2"/>
  </r>
  <r>
    <x v="162"/>
    <x v="3"/>
    <d v="2024-08-20T00:00:00"/>
    <x v="1"/>
    <x v="1"/>
    <x v="1"/>
    <n v="2846"/>
    <n v="792"/>
    <n v="902"/>
    <n v="2469"/>
    <n v="12130"/>
    <n v="47151"/>
    <x v="0"/>
    <n v="9.6286399015927546E-2"/>
  </r>
  <r>
    <x v="163"/>
    <x v="2"/>
    <d v="2024-11-30T00:00:00"/>
    <x v="0"/>
    <x v="3"/>
    <x v="3"/>
    <n v="14763"/>
    <n v="864"/>
    <n v="336"/>
    <n v="1493"/>
    <n v="33310"/>
    <n v="165932"/>
    <x v="1"/>
    <n v="9.6202058674637797E-2"/>
  </r>
  <r>
    <x v="164"/>
    <x v="2"/>
    <d v="2025-04-05T00:00:00"/>
    <x v="0"/>
    <x v="4"/>
    <x v="5"/>
    <n v="22384"/>
    <n v="601"/>
    <n v="943"/>
    <n v="515"/>
    <n v="41309"/>
    <n v="249373"/>
    <x v="0"/>
    <n v="9.5952649244304716E-2"/>
  </r>
  <r>
    <x v="165"/>
    <x v="2"/>
    <d v="2024-07-16T00:00:00"/>
    <x v="1"/>
    <x v="9"/>
    <x v="9"/>
    <n v="8767"/>
    <n v="974"/>
    <n v="733"/>
    <n v="1587"/>
    <n v="74927"/>
    <n v="113770"/>
    <x v="0"/>
    <n v="9.2062933989628198E-2"/>
  </r>
  <r>
    <x v="166"/>
    <x v="0"/>
    <d v="2024-12-18T00:00:00"/>
    <x v="1"/>
    <x v="9"/>
    <x v="9"/>
    <n v="14775"/>
    <n v="1220"/>
    <n v="640"/>
    <n v="1547"/>
    <n v="28527"/>
    <n v="183660"/>
    <x v="2"/>
    <n v="9.0574975498203203E-2"/>
  </r>
  <r>
    <x v="167"/>
    <x v="2"/>
    <d v="2024-11-25T00:00:00"/>
    <x v="0"/>
    <x v="9"/>
    <x v="9"/>
    <n v="17385"/>
    <n v="831"/>
    <n v="568"/>
    <n v="2227"/>
    <n v="49351"/>
    <n v="207450"/>
    <x v="3"/>
    <n v="9.0547119787900698E-2"/>
  </r>
  <r>
    <x v="168"/>
    <x v="3"/>
    <d v="2024-07-15T00:00:00"/>
    <x v="2"/>
    <x v="3"/>
    <x v="3"/>
    <n v="17034"/>
    <n v="231"/>
    <n v="290"/>
    <n v="1387"/>
    <n v="63550"/>
    <n v="198280"/>
    <x v="2"/>
    <n v="8.8536413153116805E-2"/>
  </r>
  <r>
    <x v="169"/>
    <x v="0"/>
    <d v="2025-09-03T00:00:00"/>
    <x v="2"/>
    <x v="5"/>
    <x v="6"/>
    <n v="4779"/>
    <n v="1110"/>
    <n v="436"/>
    <n v="1574"/>
    <n v="77167"/>
    <n v="71585"/>
    <x v="4"/>
    <n v="8.8356499266606131E-2"/>
  </r>
  <r>
    <x v="170"/>
    <x v="1"/>
    <d v="2025-01-27T00:00:00"/>
    <x v="3"/>
    <x v="9"/>
    <x v="9"/>
    <n v="8949"/>
    <n v="1477"/>
    <n v="424"/>
    <n v="1030"/>
    <n v="58052"/>
    <n v="123310"/>
    <x v="0"/>
    <n v="8.7989619657773091E-2"/>
  </r>
  <r>
    <x v="171"/>
    <x v="0"/>
    <d v="2024-10-21T00:00:00"/>
    <x v="0"/>
    <x v="3"/>
    <x v="3"/>
    <n v="12015"/>
    <n v="1196"/>
    <n v="998"/>
    <n v="1848"/>
    <n v="44739"/>
    <n v="161750"/>
    <x v="2"/>
    <n v="8.7845440494590421E-2"/>
  </r>
  <r>
    <x v="172"/>
    <x v="2"/>
    <d v="2024-12-24T00:00:00"/>
    <x v="2"/>
    <x v="7"/>
    <x v="1"/>
    <n v="10512"/>
    <n v="1197"/>
    <n v="544"/>
    <n v="2012"/>
    <n v="10245"/>
    <n v="140102"/>
    <x v="0"/>
    <n v="8.745770938316369E-2"/>
  </r>
  <r>
    <x v="173"/>
    <x v="3"/>
    <d v="2024-07-31T00:00:00"/>
    <x v="3"/>
    <x v="3"/>
    <x v="4"/>
    <n v="13314"/>
    <n v="274"/>
    <n v="626"/>
    <n v="2280"/>
    <n v="14639"/>
    <n v="163008"/>
    <x v="1"/>
    <n v="8.7198174322732622E-2"/>
  </r>
  <r>
    <x v="174"/>
    <x v="0"/>
    <d v="2025-09-10T00:00:00"/>
    <x v="3"/>
    <x v="7"/>
    <x v="1"/>
    <n v="9266"/>
    <n v="999"/>
    <n v="928"/>
    <n v="2700"/>
    <n v="12264"/>
    <n v="128397"/>
    <x v="4"/>
    <n v="8.7174933993784898E-2"/>
  </r>
  <r>
    <x v="175"/>
    <x v="2"/>
    <d v="2025-09-12T00:00:00"/>
    <x v="1"/>
    <x v="6"/>
    <x v="7"/>
    <n v="17158"/>
    <n v="1192"/>
    <n v="262"/>
    <n v="2016"/>
    <n v="28771"/>
    <n v="216037"/>
    <x v="4"/>
    <n v="8.6151909163708074E-2"/>
  </r>
  <r>
    <x v="176"/>
    <x v="3"/>
    <d v="2024-08-17T00:00:00"/>
    <x v="0"/>
    <x v="1"/>
    <x v="1"/>
    <n v="19154"/>
    <n v="1064"/>
    <n v="650"/>
    <n v="747"/>
    <n v="42667"/>
    <n v="242332"/>
    <x v="3"/>
    <n v="8.6113266097750191E-2"/>
  </r>
  <r>
    <x v="177"/>
    <x v="1"/>
    <d v="2024-06-17T00:00:00"/>
    <x v="3"/>
    <x v="2"/>
    <x v="2"/>
    <n v="6976"/>
    <n v="1320"/>
    <n v="393"/>
    <n v="2285"/>
    <n v="14049"/>
    <n v="101367"/>
    <x v="2"/>
    <n v="8.5718231771681114E-2"/>
  </r>
  <r>
    <x v="178"/>
    <x v="0"/>
    <d v="2025-02-10T00:00:00"/>
    <x v="3"/>
    <x v="5"/>
    <x v="6"/>
    <n v="16309"/>
    <n v="1449"/>
    <n v="838"/>
    <n v="2434"/>
    <n v="2940"/>
    <n v="217953"/>
    <x v="1"/>
    <n v="8.5321147219813445E-2"/>
  </r>
  <r>
    <x v="179"/>
    <x v="0"/>
    <d v="2025-09-09T00:00:00"/>
    <x v="0"/>
    <x v="4"/>
    <x v="5"/>
    <n v="15772"/>
    <n v="288"/>
    <n v="520"/>
    <n v="1585"/>
    <n v="59182"/>
    <n v="194351"/>
    <x v="4"/>
    <n v="8.5309568769905988E-2"/>
  </r>
  <r>
    <x v="180"/>
    <x v="3"/>
    <d v="2025-05-01T00:00:00"/>
    <x v="1"/>
    <x v="9"/>
    <x v="9"/>
    <n v="10258"/>
    <n v="527"/>
    <n v="854"/>
    <n v="2068"/>
    <n v="45632"/>
    <n v="136546"/>
    <x v="2"/>
    <n v="8.5238674146441498E-2"/>
  </r>
  <r>
    <x v="181"/>
    <x v="3"/>
    <d v="2025-04-03T00:00:00"/>
    <x v="2"/>
    <x v="10"/>
    <x v="10"/>
    <n v="10837"/>
    <n v="1004"/>
    <n v="922"/>
    <n v="1108"/>
    <n v="36807"/>
    <n v="150350"/>
    <x v="3"/>
    <n v="8.4888593282341204E-2"/>
  </r>
  <r>
    <x v="182"/>
    <x v="3"/>
    <d v="2024-07-13T00:00:00"/>
    <x v="0"/>
    <x v="4"/>
    <x v="5"/>
    <n v="18639"/>
    <n v="1360"/>
    <n v="898"/>
    <n v="2011"/>
    <n v="42841"/>
    <n v="247779"/>
    <x v="1"/>
    <n v="8.4337252148083575E-2"/>
  </r>
  <r>
    <x v="183"/>
    <x v="1"/>
    <d v="2025-09-25T00:00:00"/>
    <x v="0"/>
    <x v="8"/>
    <x v="8"/>
    <n v="8371"/>
    <n v="960"/>
    <n v="548"/>
    <n v="2936"/>
    <n v="82543"/>
    <n v="119973"/>
    <x v="4"/>
    <n v="8.2343527293641069E-2"/>
  </r>
  <r>
    <x v="184"/>
    <x v="3"/>
    <d v="2024-11-04T00:00:00"/>
    <x v="2"/>
    <x v="3"/>
    <x v="3"/>
    <n v="14015"/>
    <n v="978"/>
    <n v="196"/>
    <n v="2744"/>
    <n v="20190"/>
    <n v="186470"/>
    <x v="3"/>
    <n v="8.1455462004611998E-2"/>
  </r>
  <r>
    <x v="185"/>
    <x v="2"/>
    <d v="2025-10-09T00:00:00"/>
    <x v="3"/>
    <x v="6"/>
    <x v="7"/>
    <n v="18748"/>
    <n v="634"/>
    <n v="400"/>
    <n v="1667"/>
    <n v="75813"/>
    <n v="244456"/>
    <x v="4"/>
    <n v="8.0922538207284747E-2"/>
  </r>
  <r>
    <x v="186"/>
    <x v="0"/>
    <d v="2025-10-08T00:00:00"/>
    <x v="1"/>
    <x v="3"/>
    <x v="3"/>
    <n v="17745"/>
    <n v="414"/>
    <n v="563"/>
    <n v="2733"/>
    <n v="995"/>
    <n v="231648"/>
    <x v="4"/>
    <n v="8.0820900676889074E-2"/>
  </r>
  <r>
    <x v="187"/>
    <x v="1"/>
    <d v="2025-03-03T00:00:00"/>
    <x v="0"/>
    <x v="2"/>
    <x v="2"/>
    <n v="9561"/>
    <n v="642"/>
    <n v="581"/>
    <n v="2572"/>
    <n v="38552"/>
    <n v="133680"/>
    <x v="0"/>
    <n v="8.0670257330939563E-2"/>
  </r>
  <r>
    <x v="188"/>
    <x v="3"/>
    <d v="2024-08-14T00:00:00"/>
    <x v="3"/>
    <x v="10"/>
    <x v="10"/>
    <n v="10150"/>
    <n v="526"/>
    <n v="888"/>
    <n v="1313"/>
    <n v="51605"/>
    <n v="143409"/>
    <x v="0"/>
    <n v="8.0636501195880311E-2"/>
  </r>
  <r>
    <x v="189"/>
    <x v="1"/>
    <d v="2025-10-14T00:00:00"/>
    <x v="3"/>
    <x v="8"/>
    <x v="8"/>
    <n v="9673"/>
    <n v="393"/>
    <n v="846"/>
    <n v="1028"/>
    <n v="55556"/>
    <n v="136652"/>
    <x v="4"/>
    <n v="7.9852471972601938E-2"/>
  </r>
  <r>
    <x v="190"/>
    <x v="3"/>
    <d v="2024-06-12T00:00:00"/>
    <x v="1"/>
    <x v="5"/>
    <x v="6"/>
    <n v="17679"/>
    <n v="690"/>
    <n v="451"/>
    <n v="2195"/>
    <n v="4390"/>
    <n v="235804"/>
    <x v="2"/>
    <n v="7.9812047293514959E-2"/>
  </r>
  <r>
    <x v="191"/>
    <x v="0"/>
    <d v="2024-10-04T00:00:00"/>
    <x v="0"/>
    <x v="3"/>
    <x v="3"/>
    <n v="15746"/>
    <n v="258"/>
    <n v="839"/>
    <n v="2656"/>
    <n v="66614"/>
    <n v="213724"/>
    <x v="3"/>
    <n v="7.8807246729426739E-2"/>
  </r>
  <r>
    <x v="192"/>
    <x v="1"/>
    <d v="2024-06-22T00:00:00"/>
    <x v="2"/>
    <x v="4"/>
    <x v="5"/>
    <n v="16430"/>
    <n v="488"/>
    <n v="514"/>
    <n v="1436"/>
    <n v="30059"/>
    <n v="223305"/>
    <x v="1"/>
    <n v="7.8063634938760881E-2"/>
  </r>
  <r>
    <x v="193"/>
    <x v="1"/>
    <d v="2025-04-06T00:00:00"/>
    <x v="1"/>
    <x v="8"/>
    <x v="8"/>
    <n v="8238"/>
    <n v="766"/>
    <n v="235"/>
    <n v="1273"/>
    <n v="4706"/>
    <n v="119141"/>
    <x v="1"/>
    <n v="7.7546772311798629E-2"/>
  </r>
  <r>
    <x v="194"/>
    <x v="1"/>
    <d v="2024-10-18T00:00:00"/>
    <x v="3"/>
    <x v="5"/>
    <x v="6"/>
    <n v="6892"/>
    <n v="1184"/>
    <n v="925"/>
    <n v="1062"/>
    <n v="75008"/>
    <n v="116260"/>
    <x v="2"/>
    <n v="7.7421297092723204E-2"/>
  </r>
  <r>
    <x v="195"/>
    <x v="2"/>
    <d v="2024-11-26T00:00:00"/>
    <x v="0"/>
    <x v="0"/>
    <x v="0"/>
    <n v="14607"/>
    <n v="1458"/>
    <n v="478"/>
    <n v="334"/>
    <n v="49257"/>
    <n v="214668"/>
    <x v="1"/>
    <n v="7.7063185942944451E-2"/>
  </r>
  <r>
    <x v="196"/>
    <x v="1"/>
    <d v="2025-02-02T00:00:00"/>
    <x v="3"/>
    <x v="3"/>
    <x v="4"/>
    <n v="12136"/>
    <n v="1117"/>
    <n v="834"/>
    <n v="892"/>
    <n v="24675"/>
    <n v="183273"/>
    <x v="3"/>
    <n v="7.6863476889667326E-2"/>
  </r>
  <r>
    <x v="197"/>
    <x v="3"/>
    <d v="2025-04-06T00:00:00"/>
    <x v="2"/>
    <x v="7"/>
    <x v="1"/>
    <n v="14941"/>
    <n v="1424"/>
    <n v="238"/>
    <n v="1054"/>
    <n v="20516"/>
    <n v="216048"/>
    <x v="2"/>
    <n v="7.6848663260016298E-2"/>
  </r>
  <r>
    <x v="198"/>
    <x v="0"/>
    <d v="2025-03-18T00:00:00"/>
    <x v="2"/>
    <x v="4"/>
    <x v="5"/>
    <n v="5818"/>
    <n v="1252"/>
    <n v="687"/>
    <n v="2300"/>
    <n v="25081"/>
    <n v="101212"/>
    <x v="2"/>
    <n v="7.6641109749832043E-2"/>
  </r>
  <r>
    <x v="199"/>
    <x v="1"/>
    <d v="2024-10-05T00:00:00"/>
    <x v="3"/>
    <x v="5"/>
    <x v="6"/>
    <n v="16388"/>
    <n v="1208"/>
    <n v="417"/>
    <n v="2306"/>
    <n v="16865"/>
    <n v="236733"/>
    <x v="0"/>
    <n v="7.6089940988370866E-2"/>
  </r>
  <r>
    <x v="200"/>
    <x v="1"/>
    <d v="2025-09-24T00:00:00"/>
    <x v="2"/>
    <x v="7"/>
    <x v="1"/>
    <n v="11795"/>
    <n v="958"/>
    <n v="814"/>
    <n v="301"/>
    <n v="12564"/>
    <n v="179999"/>
    <x v="4"/>
    <n v="7.5372640959116444E-2"/>
  </r>
  <r>
    <x v="201"/>
    <x v="0"/>
    <d v="2025-03-08T00:00:00"/>
    <x v="2"/>
    <x v="2"/>
    <x v="2"/>
    <n v="5812"/>
    <n v="934"/>
    <n v="302"/>
    <n v="2356"/>
    <n v="37437"/>
    <n v="93551"/>
    <x v="0"/>
    <n v="7.5338585370546551E-2"/>
  </r>
  <r>
    <x v="202"/>
    <x v="1"/>
    <d v="2025-09-10T00:00:00"/>
    <x v="2"/>
    <x v="5"/>
    <x v="6"/>
    <n v="13613"/>
    <n v="350"/>
    <n v="809"/>
    <n v="2013"/>
    <n v="20471"/>
    <n v="198038"/>
    <x v="4"/>
    <n v="7.4591745018632791E-2"/>
  </r>
  <r>
    <x v="203"/>
    <x v="0"/>
    <d v="2025-05-05T00:00:00"/>
    <x v="1"/>
    <x v="3"/>
    <x v="3"/>
    <n v="10415"/>
    <n v="1388"/>
    <n v="725"/>
    <n v="2462"/>
    <n v="53082"/>
    <n v="168267"/>
    <x v="2"/>
    <n v="7.4453101321114656E-2"/>
  </r>
  <r>
    <x v="204"/>
    <x v="3"/>
    <d v="2025-04-28T00:00:00"/>
    <x v="3"/>
    <x v="3"/>
    <x v="3"/>
    <n v="10659"/>
    <n v="1342"/>
    <n v="408"/>
    <n v="709"/>
    <n v="16309"/>
    <n v="168803"/>
    <x v="3"/>
    <n v="7.3511726687321907E-2"/>
  </r>
  <r>
    <x v="205"/>
    <x v="2"/>
    <d v="2025-03-19T00:00:00"/>
    <x v="3"/>
    <x v="3"/>
    <x v="4"/>
    <n v="13475"/>
    <n v="1032"/>
    <n v="295"/>
    <n v="541"/>
    <n v="43666"/>
    <n v="202396"/>
    <x v="2"/>
    <n v="7.3133856400324118E-2"/>
  </r>
  <r>
    <x v="206"/>
    <x v="0"/>
    <d v="2024-08-19T00:00:00"/>
    <x v="2"/>
    <x v="4"/>
    <x v="5"/>
    <n v="15550"/>
    <n v="204"/>
    <n v="279"/>
    <n v="1646"/>
    <n v="35819"/>
    <n v="219436"/>
    <x v="0"/>
    <n v="7.306458375107093E-2"/>
  </r>
  <r>
    <x v="207"/>
    <x v="3"/>
    <d v="2024-07-03T00:00:00"/>
    <x v="0"/>
    <x v="5"/>
    <x v="6"/>
    <n v="12167"/>
    <n v="364"/>
    <n v="160"/>
    <n v="616"/>
    <n v="42228"/>
    <n v="175832"/>
    <x v="3"/>
    <n v="7.2176850630146963E-2"/>
  </r>
  <r>
    <x v="208"/>
    <x v="0"/>
    <d v="2025-09-23T00:00:00"/>
    <x v="2"/>
    <x v="10"/>
    <x v="10"/>
    <n v="10017"/>
    <n v="1357"/>
    <n v="966"/>
    <n v="2871"/>
    <n v="14800"/>
    <n v="171691"/>
    <x v="4"/>
    <n v="7.1873307278774071E-2"/>
  </r>
  <r>
    <x v="209"/>
    <x v="1"/>
    <d v="2024-07-10T00:00:00"/>
    <x v="2"/>
    <x v="8"/>
    <x v="8"/>
    <n v="8809"/>
    <n v="1151"/>
    <n v="908"/>
    <n v="883"/>
    <n v="42921"/>
    <n v="151279"/>
    <x v="2"/>
    <n v="7.1840771025720687E-2"/>
  </r>
  <r>
    <x v="210"/>
    <x v="1"/>
    <d v="2025-10-15T00:00:00"/>
    <x v="2"/>
    <x v="4"/>
    <x v="5"/>
    <n v="8882"/>
    <n v="701"/>
    <n v="421"/>
    <n v="2343"/>
    <n v="13588"/>
    <n v="139304"/>
    <x v="4"/>
    <n v="7.1814161833113191E-2"/>
  </r>
  <r>
    <x v="211"/>
    <x v="1"/>
    <d v="2025-09-30T00:00:00"/>
    <x v="1"/>
    <x v="2"/>
    <x v="2"/>
    <n v="8269"/>
    <n v="250"/>
    <n v="638"/>
    <n v="815"/>
    <n v="41991"/>
    <n v="129393"/>
    <x v="4"/>
    <n v="7.0768897853825175E-2"/>
  </r>
  <r>
    <x v="212"/>
    <x v="1"/>
    <d v="2025-04-06T00:00:00"/>
    <x v="3"/>
    <x v="3"/>
    <x v="3"/>
    <n v="15917"/>
    <n v="1479"/>
    <n v="196"/>
    <n v="313"/>
    <n v="48524"/>
    <n v="249684"/>
    <x v="1"/>
    <n v="7.0457057720959296E-2"/>
  </r>
  <r>
    <x v="213"/>
    <x v="3"/>
    <d v="2024-11-06T00:00:00"/>
    <x v="2"/>
    <x v="0"/>
    <x v="0"/>
    <n v="11865"/>
    <n v="241"/>
    <n v="319"/>
    <n v="703"/>
    <n v="69596"/>
    <n v="177513"/>
    <x v="1"/>
    <n v="6.999487361489018E-2"/>
  </r>
  <r>
    <x v="214"/>
    <x v="3"/>
    <d v="2025-09-25T00:00:00"/>
    <x v="3"/>
    <x v="8"/>
    <x v="8"/>
    <n v="12568"/>
    <n v="541"/>
    <n v="273"/>
    <n v="2767"/>
    <n v="22331"/>
    <n v="192747"/>
    <x v="4"/>
    <n v="6.9427799135654514E-2"/>
  </r>
  <r>
    <x v="215"/>
    <x v="0"/>
    <d v="2025-09-17T00:00:00"/>
    <x v="1"/>
    <x v="0"/>
    <x v="0"/>
    <n v="15456"/>
    <n v="590"/>
    <n v="555"/>
    <n v="2882"/>
    <n v="49816"/>
    <n v="240422"/>
    <x v="4"/>
    <n v="6.9049421433978589E-2"/>
  </r>
  <r>
    <x v="216"/>
    <x v="0"/>
    <d v="2025-01-06T00:00:00"/>
    <x v="2"/>
    <x v="6"/>
    <x v="7"/>
    <n v="11860"/>
    <n v="1448"/>
    <n v="893"/>
    <n v="490"/>
    <n v="23518"/>
    <n v="206205"/>
    <x v="0"/>
    <n v="6.8868359157149436E-2"/>
  </r>
  <r>
    <x v="217"/>
    <x v="3"/>
    <d v="2025-04-01T00:00:00"/>
    <x v="2"/>
    <x v="0"/>
    <x v="0"/>
    <n v="6432"/>
    <n v="1272"/>
    <n v="498"/>
    <n v="677"/>
    <n v="47305"/>
    <n v="119134"/>
    <x v="0"/>
    <n v="6.8846844729464299E-2"/>
  </r>
  <r>
    <x v="218"/>
    <x v="3"/>
    <d v="2024-09-02T00:00:00"/>
    <x v="0"/>
    <x v="3"/>
    <x v="4"/>
    <n v="11765"/>
    <n v="693"/>
    <n v="729"/>
    <n v="744"/>
    <n v="97772"/>
    <n v="194243"/>
    <x v="0"/>
    <n v="6.7889190344053579E-2"/>
  </r>
  <r>
    <x v="219"/>
    <x v="2"/>
    <d v="2025-01-18T00:00:00"/>
    <x v="1"/>
    <x v="8"/>
    <x v="8"/>
    <n v="12589"/>
    <n v="346"/>
    <n v="459"/>
    <n v="1407"/>
    <n v="29254"/>
    <n v="198059"/>
    <x v="3"/>
    <n v="6.7626313371268162E-2"/>
  </r>
  <r>
    <x v="220"/>
    <x v="0"/>
    <d v="2024-11-23T00:00:00"/>
    <x v="1"/>
    <x v="1"/>
    <x v="1"/>
    <n v="9941"/>
    <n v="1329"/>
    <n v="238"/>
    <n v="869"/>
    <n v="40281"/>
    <n v="172311"/>
    <x v="3"/>
    <n v="6.6786217943137702E-2"/>
  </r>
  <r>
    <x v="221"/>
    <x v="2"/>
    <d v="2024-07-02T00:00:00"/>
    <x v="3"/>
    <x v="0"/>
    <x v="0"/>
    <n v="12320"/>
    <n v="1157"/>
    <n v="365"/>
    <n v="584"/>
    <n v="66634"/>
    <n v="210102"/>
    <x v="1"/>
    <n v="6.5882285746922925E-2"/>
  </r>
  <r>
    <x v="222"/>
    <x v="1"/>
    <d v="2024-10-08T00:00:00"/>
    <x v="1"/>
    <x v="7"/>
    <x v="1"/>
    <n v="8738"/>
    <n v="295"/>
    <n v="529"/>
    <n v="442"/>
    <n v="25286"/>
    <n v="147522"/>
    <x v="1"/>
    <n v="6.4817450956467515E-2"/>
  </r>
  <r>
    <x v="223"/>
    <x v="0"/>
    <d v="2025-03-13T00:00:00"/>
    <x v="3"/>
    <x v="6"/>
    <x v="7"/>
    <n v="6544"/>
    <n v="749"/>
    <n v="888"/>
    <n v="594"/>
    <n v="18171"/>
    <n v="126475"/>
    <x v="3"/>
    <n v="6.4684720300454635E-2"/>
  </r>
  <r>
    <x v="224"/>
    <x v="3"/>
    <d v="2024-06-11T00:00:00"/>
    <x v="0"/>
    <x v="7"/>
    <x v="1"/>
    <n v="14910"/>
    <n v="778"/>
    <n v="289"/>
    <n v="2541"/>
    <n v="14309"/>
    <n v="247815"/>
    <x v="3"/>
    <n v="6.4471480741682297E-2"/>
  </r>
  <r>
    <x v="225"/>
    <x v="1"/>
    <d v="2024-10-09T00:00:00"/>
    <x v="0"/>
    <x v="9"/>
    <x v="9"/>
    <n v="7240"/>
    <n v="1384"/>
    <n v="954"/>
    <n v="2335"/>
    <n v="6757"/>
    <n v="150448"/>
    <x v="3"/>
    <n v="6.3663192598106988E-2"/>
  </r>
  <r>
    <x v="226"/>
    <x v="3"/>
    <d v="2025-02-19T00:00:00"/>
    <x v="0"/>
    <x v="9"/>
    <x v="9"/>
    <n v="8168"/>
    <n v="512"/>
    <n v="442"/>
    <n v="2343"/>
    <n v="2753"/>
    <n v="143896"/>
    <x v="2"/>
    <n v="6.3393006059932172E-2"/>
  </r>
  <r>
    <x v="227"/>
    <x v="3"/>
    <d v="2024-06-16T00:00:00"/>
    <x v="1"/>
    <x v="2"/>
    <x v="2"/>
    <n v="12160"/>
    <n v="1405"/>
    <n v="769"/>
    <n v="1980"/>
    <n v="33174"/>
    <n v="226481"/>
    <x v="0"/>
    <n v="6.329007731332871E-2"/>
  </r>
  <r>
    <x v="228"/>
    <x v="2"/>
    <d v="2025-05-06T00:00:00"/>
    <x v="3"/>
    <x v="2"/>
    <x v="2"/>
    <n v="7287"/>
    <n v="1240"/>
    <n v="686"/>
    <n v="1255"/>
    <n v="15403"/>
    <n v="147971"/>
    <x v="0"/>
    <n v="6.2262200025680704E-2"/>
  </r>
  <r>
    <x v="229"/>
    <x v="1"/>
    <d v="2025-04-19T00:00:00"/>
    <x v="2"/>
    <x v="0"/>
    <x v="0"/>
    <n v="8881"/>
    <n v="210"/>
    <n v="673"/>
    <n v="1565"/>
    <n v="24847"/>
    <n v="156891"/>
    <x v="3"/>
    <n v="6.223429004850501E-2"/>
  </r>
  <r>
    <x v="230"/>
    <x v="2"/>
    <d v="2024-10-22T00:00:00"/>
    <x v="1"/>
    <x v="0"/>
    <x v="0"/>
    <n v="12478"/>
    <n v="484"/>
    <n v="332"/>
    <n v="2734"/>
    <n v="43338"/>
    <n v="213895"/>
    <x v="1"/>
    <n v="6.2151990462610156E-2"/>
  </r>
  <r>
    <x v="231"/>
    <x v="1"/>
    <d v="2025-01-15T00:00:00"/>
    <x v="1"/>
    <x v="5"/>
    <x v="6"/>
    <n v="11333"/>
    <n v="920"/>
    <n v="294"/>
    <n v="606"/>
    <n v="59490"/>
    <n v="202082"/>
    <x v="3"/>
    <n v="6.2088657079799291E-2"/>
  </r>
  <r>
    <x v="232"/>
    <x v="1"/>
    <d v="2024-12-03T00:00:00"/>
    <x v="2"/>
    <x v="0"/>
    <x v="0"/>
    <n v="2055"/>
    <n v="675"/>
    <n v="257"/>
    <n v="820"/>
    <n v="33534"/>
    <n v="48125"/>
    <x v="0"/>
    <n v="6.2067532467532466E-2"/>
  </r>
  <r>
    <x v="233"/>
    <x v="1"/>
    <d v="2024-10-19T00:00:00"/>
    <x v="3"/>
    <x v="3"/>
    <x v="4"/>
    <n v="6673"/>
    <n v="826"/>
    <n v="321"/>
    <n v="577"/>
    <n v="19262"/>
    <n v="132324"/>
    <x v="2"/>
    <n v="5.9097367068710133E-2"/>
  </r>
  <r>
    <x v="234"/>
    <x v="1"/>
    <d v="2025-03-11T00:00:00"/>
    <x v="3"/>
    <x v="2"/>
    <x v="2"/>
    <n v="7997"/>
    <n v="1238"/>
    <n v="438"/>
    <n v="1874"/>
    <n v="36272"/>
    <n v="165818"/>
    <x v="2"/>
    <n v="5.8335042034037318E-2"/>
  </r>
  <r>
    <x v="235"/>
    <x v="0"/>
    <d v="2025-09-07T00:00:00"/>
    <x v="1"/>
    <x v="6"/>
    <x v="7"/>
    <n v="3015"/>
    <n v="997"/>
    <n v="783"/>
    <n v="617"/>
    <n v="77167"/>
    <n v="82229"/>
    <x v="4"/>
    <n v="5.8312760704860814E-2"/>
  </r>
  <r>
    <x v="236"/>
    <x v="3"/>
    <d v="2025-04-17T00:00:00"/>
    <x v="1"/>
    <x v="4"/>
    <x v="5"/>
    <n v="2009"/>
    <n v="1037"/>
    <n v="344"/>
    <n v="2277"/>
    <n v="85743"/>
    <n v="58743"/>
    <x v="1"/>
    <n v="5.7709003625963942E-2"/>
  </r>
  <r>
    <x v="237"/>
    <x v="3"/>
    <d v="2024-07-31T00:00:00"/>
    <x v="2"/>
    <x v="3"/>
    <x v="3"/>
    <n v="2404"/>
    <n v="774"/>
    <n v="661"/>
    <n v="662"/>
    <n v="12676"/>
    <n v="66916"/>
    <x v="0"/>
    <n v="5.7370434574690654E-2"/>
  </r>
  <r>
    <x v="238"/>
    <x v="3"/>
    <d v="2025-02-06T00:00:00"/>
    <x v="2"/>
    <x v="2"/>
    <x v="2"/>
    <n v="2666"/>
    <n v="1136"/>
    <n v="989"/>
    <n v="1710"/>
    <n v="36467"/>
    <n v="83753"/>
    <x v="3"/>
    <n v="5.7203921053574198E-2"/>
  </r>
  <r>
    <x v="239"/>
    <x v="2"/>
    <d v="2025-03-04T00:00:00"/>
    <x v="1"/>
    <x v="1"/>
    <x v="1"/>
    <n v="12344"/>
    <n v="815"/>
    <n v="298"/>
    <n v="2439"/>
    <n v="6259"/>
    <n v="237133"/>
    <x v="1"/>
    <n v="5.6748744375519224E-2"/>
  </r>
  <r>
    <x v="240"/>
    <x v="2"/>
    <d v="2024-09-10T00:00:00"/>
    <x v="3"/>
    <x v="4"/>
    <x v="5"/>
    <n v="6637"/>
    <n v="595"/>
    <n v="161"/>
    <n v="2653"/>
    <n v="19334"/>
    <n v="131155"/>
    <x v="3"/>
    <n v="5.6368419046166747E-2"/>
  </r>
  <r>
    <x v="241"/>
    <x v="2"/>
    <d v="2024-06-06T00:00:00"/>
    <x v="1"/>
    <x v="9"/>
    <x v="9"/>
    <n v="11521"/>
    <n v="1071"/>
    <n v="762"/>
    <n v="2539"/>
    <n v="12701"/>
    <n v="238350"/>
    <x v="3"/>
    <n v="5.6026851269142017E-2"/>
  </r>
  <r>
    <x v="242"/>
    <x v="2"/>
    <d v="2025-09-18T00:00:00"/>
    <x v="3"/>
    <x v="3"/>
    <x v="3"/>
    <n v="4048"/>
    <n v="677"/>
    <n v="911"/>
    <n v="2429"/>
    <n v="27361"/>
    <n v="101272"/>
    <x v="4"/>
    <n v="5.5652105221581483E-2"/>
  </r>
  <r>
    <x v="243"/>
    <x v="1"/>
    <d v="2024-09-09T00:00:00"/>
    <x v="0"/>
    <x v="6"/>
    <x v="7"/>
    <n v="6158"/>
    <n v="277"/>
    <n v="512"/>
    <n v="2189"/>
    <n v="76881"/>
    <n v="124878"/>
    <x v="1"/>
    <n v="5.563029516808405E-2"/>
  </r>
  <r>
    <x v="244"/>
    <x v="2"/>
    <d v="2025-09-26T00:00:00"/>
    <x v="3"/>
    <x v="1"/>
    <x v="1"/>
    <n v="9043"/>
    <n v="1192"/>
    <n v="810"/>
    <n v="1550"/>
    <n v="5221"/>
    <n v="199476"/>
    <x v="4"/>
    <n v="5.5370069582305642E-2"/>
  </r>
  <r>
    <x v="245"/>
    <x v="0"/>
    <d v="2025-03-08T00:00:00"/>
    <x v="1"/>
    <x v="4"/>
    <x v="5"/>
    <n v="10580"/>
    <n v="427"/>
    <n v="790"/>
    <n v="2814"/>
    <n v="24916"/>
    <n v="213312"/>
    <x v="2"/>
    <n v="5.530396789678968E-2"/>
  </r>
  <r>
    <x v="246"/>
    <x v="3"/>
    <d v="2024-10-21T00:00:00"/>
    <x v="0"/>
    <x v="3"/>
    <x v="4"/>
    <n v="8254"/>
    <n v="1405"/>
    <n v="165"/>
    <n v="2504"/>
    <n v="8081"/>
    <n v="177710"/>
    <x v="0"/>
    <n v="5.5281075910190762E-2"/>
  </r>
  <r>
    <x v="247"/>
    <x v="3"/>
    <d v="2025-05-14T00:00:00"/>
    <x v="2"/>
    <x v="3"/>
    <x v="3"/>
    <n v="9041"/>
    <n v="1133"/>
    <n v="612"/>
    <n v="1687"/>
    <n v="28102"/>
    <n v="195683"/>
    <x v="1"/>
    <n v="5.5119760020032396E-2"/>
  </r>
  <r>
    <x v="248"/>
    <x v="0"/>
    <d v="2025-09-29T00:00:00"/>
    <x v="0"/>
    <x v="8"/>
    <x v="8"/>
    <n v="7569"/>
    <n v="803"/>
    <n v="804"/>
    <n v="1753"/>
    <n v="43582"/>
    <n v="166945"/>
    <x v="4"/>
    <n v="5.4964209769684629E-2"/>
  </r>
  <r>
    <x v="249"/>
    <x v="2"/>
    <d v="2024-10-22T00:00:00"/>
    <x v="1"/>
    <x v="6"/>
    <x v="7"/>
    <n v="7750"/>
    <n v="1146"/>
    <n v="415"/>
    <n v="1411"/>
    <n v="85339"/>
    <n v="172439"/>
    <x v="3"/>
    <n v="5.3995905798572247E-2"/>
  </r>
  <r>
    <x v="250"/>
    <x v="2"/>
    <d v="2024-11-07T00:00:00"/>
    <x v="3"/>
    <x v="9"/>
    <x v="9"/>
    <n v="11550"/>
    <n v="501"/>
    <n v="646"/>
    <n v="773"/>
    <n v="17841"/>
    <n v="237576"/>
    <x v="1"/>
    <n v="5.3443950567397383E-2"/>
  </r>
  <r>
    <x v="251"/>
    <x v="0"/>
    <d v="2025-02-25T00:00:00"/>
    <x v="3"/>
    <x v="8"/>
    <x v="8"/>
    <n v="10702"/>
    <n v="621"/>
    <n v="445"/>
    <n v="2918"/>
    <n v="54808"/>
    <n v="220225"/>
    <x v="0"/>
    <n v="5.3436258372119426E-2"/>
  </r>
  <r>
    <x v="252"/>
    <x v="1"/>
    <d v="2024-07-21T00:00:00"/>
    <x v="1"/>
    <x v="5"/>
    <x v="6"/>
    <n v="2009"/>
    <n v="1072"/>
    <n v="550"/>
    <n v="1437"/>
    <n v="22982"/>
    <n v="69426"/>
    <x v="1"/>
    <n v="5.2300290957278256E-2"/>
  </r>
  <r>
    <x v="253"/>
    <x v="1"/>
    <d v="2024-11-05T00:00:00"/>
    <x v="1"/>
    <x v="7"/>
    <x v="1"/>
    <n v="8469"/>
    <n v="935"/>
    <n v="211"/>
    <n v="2635"/>
    <n v="21890"/>
    <n v="184539"/>
    <x v="2"/>
    <n v="5.2102807536618279E-2"/>
  </r>
  <r>
    <x v="254"/>
    <x v="1"/>
    <d v="2024-08-30T00:00:00"/>
    <x v="3"/>
    <x v="5"/>
    <x v="6"/>
    <n v="6804"/>
    <n v="787"/>
    <n v="970"/>
    <n v="1095"/>
    <n v="56343"/>
    <n v="164677"/>
    <x v="0"/>
    <n v="5.1986616224487935E-2"/>
  </r>
  <r>
    <x v="255"/>
    <x v="3"/>
    <d v="2024-12-16T00:00:00"/>
    <x v="2"/>
    <x v="3"/>
    <x v="4"/>
    <n v="2384"/>
    <n v="1246"/>
    <n v="160"/>
    <n v="2004"/>
    <n v="2701"/>
    <n v="73142"/>
    <x v="0"/>
    <n v="5.1817013480626728E-2"/>
  </r>
  <r>
    <x v="256"/>
    <x v="3"/>
    <d v="2025-02-27T00:00:00"/>
    <x v="2"/>
    <x v="0"/>
    <x v="0"/>
    <n v="8970"/>
    <n v="331"/>
    <n v="968"/>
    <n v="2296"/>
    <n v="24613"/>
    <n v="198562"/>
    <x v="1"/>
    <n v="5.1716844109144754E-2"/>
  </r>
  <r>
    <x v="257"/>
    <x v="1"/>
    <d v="2025-04-07T00:00:00"/>
    <x v="3"/>
    <x v="8"/>
    <x v="8"/>
    <n v="3062"/>
    <n v="1124"/>
    <n v="538"/>
    <n v="2935"/>
    <n v="69749"/>
    <n v="91924"/>
    <x v="1"/>
    <n v="5.1390278926069365E-2"/>
  </r>
  <r>
    <x v="258"/>
    <x v="3"/>
    <d v="2024-10-27T00:00:00"/>
    <x v="3"/>
    <x v="2"/>
    <x v="2"/>
    <n v="7560"/>
    <n v="1139"/>
    <n v="248"/>
    <n v="1624"/>
    <n v="72237"/>
    <n v="177084"/>
    <x v="3"/>
    <n v="5.0524045085947912E-2"/>
  </r>
  <r>
    <x v="259"/>
    <x v="0"/>
    <d v="2025-01-28T00:00:00"/>
    <x v="3"/>
    <x v="0"/>
    <x v="0"/>
    <n v="9943"/>
    <n v="1274"/>
    <n v="336"/>
    <n v="389"/>
    <n v="6145"/>
    <n v="231305"/>
    <x v="0"/>
    <n v="4.9947039623008581E-2"/>
  </r>
  <r>
    <x v="260"/>
    <x v="0"/>
    <d v="2024-12-31T00:00:00"/>
    <x v="2"/>
    <x v="2"/>
    <x v="2"/>
    <n v="10717"/>
    <n v="760"/>
    <n v="460"/>
    <n v="1316"/>
    <n v="18164"/>
    <n v="240641"/>
    <x v="2"/>
    <n v="4.9605013277039242E-2"/>
  </r>
  <r>
    <x v="261"/>
    <x v="1"/>
    <d v="2025-03-28T00:00:00"/>
    <x v="1"/>
    <x v="2"/>
    <x v="2"/>
    <n v="6363"/>
    <n v="1341"/>
    <n v="222"/>
    <n v="2712"/>
    <n v="19987"/>
    <n v="160585"/>
    <x v="3"/>
    <n v="4.9357038328611019E-2"/>
  </r>
  <r>
    <x v="262"/>
    <x v="0"/>
    <d v="2024-09-29T00:00:00"/>
    <x v="3"/>
    <x v="5"/>
    <x v="6"/>
    <n v="10472"/>
    <n v="401"/>
    <n v="668"/>
    <n v="383"/>
    <n v="37571"/>
    <n v="249203"/>
    <x v="3"/>
    <n v="4.6311641513143903E-2"/>
  </r>
  <r>
    <x v="263"/>
    <x v="3"/>
    <d v="2024-08-26T00:00:00"/>
    <x v="3"/>
    <x v="4"/>
    <x v="5"/>
    <n v="4193"/>
    <n v="924"/>
    <n v="707"/>
    <n v="2696"/>
    <n v="55075"/>
    <n v="126652"/>
    <x v="1"/>
    <n v="4.5984271863057827E-2"/>
  </r>
  <r>
    <x v="264"/>
    <x v="3"/>
    <d v="2025-04-15T00:00:00"/>
    <x v="3"/>
    <x v="6"/>
    <x v="7"/>
    <n v="5419"/>
    <n v="1150"/>
    <n v="656"/>
    <n v="1990"/>
    <n v="410"/>
    <n v="158154"/>
    <x v="3"/>
    <n v="4.5683321319726342E-2"/>
  </r>
  <r>
    <x v="265"/>
    <x v="0"/>
    <d v="2024-08-12T00:00:00"/>
    <x v="3"/>
    <x v="5"/>
    <x v="6"/>
    <n v="8376"/>
    <n v="1154"/>
    <n v="422"/>
    <n v="1907"/>
    <n v="36874"/>
    <n v="218486"/>
    <x v="3"/>
    <n v="4.5549829279679245E-2"/>
  </r>
  <r>
    <x v="266"/>
    <x v="2"/>
    <d v="2025-05-09T00:00:00"/>
    <x v="3"/>
    <x v="4"/>
    <x v="5"/>
    <n v="8988"/>
    <n v="228"/>
    <n v="766"/>
    <n v="652"/>
    <n v="63789"/>
    <n v="219785"/>
    <x v="3"/>
    <n v="4.541711217781013E-2"/>
  </r>
  <r>
    <x v="267"/>
    <x v="1"/>
    <d v="2025-09-24T00:00:00"/>
    <x v="1"/>
    <x v="9"/>
    <x v="9"/>
    <n v="3342"/>
    <n v="787"/>
    <n v="375"/>
    <n v="907"/>
    <n v="85823"/>
    <n v="99189"/>
    <x v="4"/>
    <n v="4.5408260996683103E-2"/>
  </r>
  <r>
    <x v="268"/>
    <x v="2"/>
    <d v="2024-06-03T00:00:00"/>
    <x v="2"/>
    <x v="3"/>
    <x v="3"/>
    <n v="8941"/>
    <n v="911"/>
    <n v="166"/>
    <n v="1217"/>
    <n v="68817"/>
    <n v="221180"/>
    <x v="2"/>
    <n v="4.5293426168731353E-2"/>
  </r>
  <r>
    <x v="269"/>
    <x v="3"/>
    <d v="2025-10-01T00:00:00"/>
    <x v="3"/>
    <x v="1"/>
    <x v="1"/>
    <n v="6188"/>
    <n v="774"/>
    <n v="647"/>
    <n v="1830"/>
    <n v="55436"/>
    <n v="175542"/>
    <x v="4"/>
    <n v="4.3345752013763089E-2"/>
  </r>
  <r>
    <x v="270"/>
    <x v="3"/>
    <d v="2025-02-17T00:00:00"/>
    <x v="1"/>
    <x v="5"/>
    <x v="6"/>
    <n v="7989"/>
    <n v="1206"/>
    <n v="376"/>
    <n v="2769"/>
    <n v="27550"/>
    <n v="221749"/>
    <x v="3"/>
    <n v="4.3161412227338117E-2"/>
  </r>
  <r>
    <x v="271"/>
    <x v="2"/>
    <d v="2025-04-02T00:00:00"/>
    <x v="1"/>
    <x v="9"/>
    <x v="9"/>
    <n v="6858"/>
    <n v="415"/>
    <n v="366"/>
    <n v="2761"/>
    <n v="2988"/>
    <n v="177348"/>
    <x v="0"/>
    <n v="4.3073505198818141E-2"/>
  </r>
  <r>
    <x v="272"/>
    <x v="3"/>
    <d v="2025-03-25T00:00:00"/>
    <x v="3"/>
    <x v="6"/>
    <x v="7"/>
    <n v="5900"/>
    <n v="546"/>
    <n v="592"/>
    <n v="1594"/>
    <n v="38627"/>
    <n v="164398"/>
    <x v="2"/>
    <n v="4.2810739790021778E-2"/>
  </r>
  <r>
    <x v="273"/>
    <x v="0"/>
    <d v="2024-12-29T00:00:00"/>
    <x v="3"/>
    <x v="7"/>
    <x v="1"/>
    <n v="8288"/>
    <n v="1401"/>
    <n v="819"/>
    <n v="1235"/>
    <n v="33446"/>
    <n v="248786"/>
    <x v="0"/>
    <n v="4.2237103373984064E-2"/>
  </r>
  <r>
    <x v="274"/>
    <x v="0"/>
    <d v="2025-01-01T00:00:00"/>
    <x v="0"/>
    <x v="0"/>
    <x v="0"/>
    <n v="8283"/>
    <n v="720"/>
    <n v="888"/>
    <n v="611"/>
    <n v="52791"/>
    <n v="235229"/>
    <x v="0"/>
    <n v="4.2048386891072105E-2"/>
  </r>
  <r>
    <x v="275"/>
    <x v="3"/>
    <d v="2024-06-24T00:00:00"/>
    <x v="2"/>
    <x v="3"/>
    <x v="3"/>
    <n v="6632"/>
    <n v="254"/>
    <n v="525"/>
    <n v="1013"/>
    <n v="13838"/>
    <n v="180180"/>
    <x v="0"/>
    <n v="4.1131091131091133E-2"/>
  </r>
  <r>
    <x v="276"/>
    <x v="1"/>
    <d v="2025-09-17T00:00:00"/>
    <x v="3"/>
    <x v="0"/>
    <x v="0"/>
    <n v="2117"/>
    <n v="1133"/>
    <n v="203"/>
    <n v="1173"/>
    <n v="40125"/>
    <n v="85379"/>
    <x v="4"/>
    <n v="4.0443200318579509E-2"/>
  </r>
  <r>
    <x v="277"/>
    <x v="1"/>
    <d v="2024-07-31T00:00:00"/>
    <x v="0"/>
    <x v="6"/>
    <x v="7"/>
    <n v="7122"/>
    <n v="628"/>
    <n v="757"/>
    <n v="2313"/>
    <n v="50924"/>
    <n v="210954"/>
    <x v="2"/>
    <n v="4.0326327066564277E-2"/>
  </r>
  <r>
    <x v="278"/>
    <x v="1"/>
    <d v="2025-09-22T00:00:00"/>
    <x v="0"/>
    <x v="10"/>
    <x v="10"/>
    <n v="8996"/>
    <n v="329"/>
    <n v="378"/>
    <n v="2384"/>
    <n v="39404"/>
    <n v="242724"/>
    <x v="4"/>
    <n v="3.9975445361810122E-2"/>
  </r>
  <r>
    <x v="279"/>
    <x v="1"/>
    <d v="2025-09-06T00:00:00"/>
    <x v="1"/>
    <x v="4"/>
    <x v="5"/>
    <n v="7124"/>
    <n v="469"/>
    <n v="851"/>
    <n v="2571"/>
    <n v="33802"/>
    <n v="216313"/>
    <x v="4"/>
    <n v="3.9036026498638549E-2"/>
  </r>
  <r>
    <x v="280"/>
    <x v="3"/>
    <d v="2024-08-05T00:00:00"/>
    <x v="1"/>
    <x v="4"/>
    <x v="5"/>
    <n v="4048"/>
    <n v="751"/>
    <n v="930"/>
    <n v="1382"/>
    <n v="16844"/>
    <n v="148177"/>
    <x v="1"/>
    <n v="3.8663220337839206E-2"/>
  </r>
  <r>
    <x v="281"/>
    <x v="0"/>
    <d v="2025-10-03T00:00:00"/>
    <x v="2"/>
    <x v="9"/>
    <x v="9"/>
    <n v="6777"/>
    <n v="617"/>
    <n v="551"/>
    <n v="2109"/>
    <n v="18559"/>
    <n v="208452"/>
    <x v="4"/>
    <n v="3.8114290100358834E-2"/>
  </r>
  <r>
    <x v="282"/>
    <x v="2"/>
    <d v="2025-09-16T00:00:00"/>
    <x v="1"/>
    <x v="7"/>
    <x v="1"/>
    <n v="6809"/>
    <n v="397"/>
    <n v="813"/>
    <n v="1125"/>
    <n v="12206"/>
    <n v="218136"/>
    <x v="4"/>
    <n v="3.6761469908680823E-2"/>
  </r>
  <r>
    <x v="283"/>
    <x v="0"/>
    <d v="2025-03-22T00:00:00"/>
    <x v="0"/>
    <x v="3"/>
    <x v="3"/>
    <n v="3917"/>
    <n v="865"/>
    <n v="759"/>
    <n v="2282"/>
    <n v="56125"/>
    <n v="154014"/>
    <x v="0"/>
    <n v="3.5977248821535704E-2"/>
  </r>
  <r>
    <x v="284"/>
    <x v="2"/>
    <d v="2025-09-18T00:00:00"/>
    <x v="0"/>
    <x v="0"/>
    <x v="0"/>
    <n v="3828"/>
    <n v="203"/>
    <n v="506"/>
    <n v="2440"/>
    <n v="63650"/>
    <n v="126365"/>
    <x v="4"/>
    <n v="3.5903929094290347E-2"/>
  </r>
  <r>
    <x v="285"/>
    <x v="1"/>
    <d v="2025-10-10T00:00:00"/>
    <x v="3"/>
    <x v="6"/>
    <x v="7"/>
    <n v="6621"/>
    <n v="922"/>
    <n v="930"/>
    <n v="694"/>
    <n v="839"/>
    <n v="243532"/>
    <x v="4"/>
    <n v="3.479214230573395E-2"/>
  </r>
  <r>
    <x v="286"/>
    <x v="3"/>
    <d v="2025-10-12T00:00:00"/>
    <x v="3"/>
    <x v="4"/>
    <x v="5"/>
    <n v="7126"/>
    <n v="484"/>
    <n v="565"/>
    <n v="573"/>
    <n v="7389"/>
    <n v="237096"/>
    <x v="4"/>
    <n v="3.4479704423524646E-2"/>
  </r>
  <r>
    <x v="287"/>
    <x v="1"/>
    <d v="2024-07-29T00:00:00"/>
    <x v="0"/>
    <x v="4"/>
    <x v="5"/>
    <n v="6164"/>
    <n v="326"/>
    <n v="615"/>
    <n v="2806"/>
    <n v="38579"/>
    <n v="206129"/>
    <x v="2"/>
    <n v="3.4468706489625425E-2"/>
  </r>
  <r>
    <x v="288"/>
    <x v="1"/>
    <d v="2024-11-17T00:00:00"/>
    <x v="3"/>
    <x v="0"/>
    <x v="0"/>
    <n v="4219"/>
    <n v="240"/>
    <n v="670"/>
    <n v="815"/>
    <n v="11978"/>
    <n v="159735"/>
    <x v="1"/>
    <n v="3.2109431245500357E-2"/>
  </r>
  <r>
    <x v="289"/>
    <x v="0"/>
    <d v="2024-10-12T00:00:00"/>
    <x v="2"/>
    <x v="10"/>
    <x v="10"/>
    <n v="6208"/>
    <n v="725"/>
    <n v="309"/>
    <n v="848"/>
    <n v="39319"/>
    <n v="225763"/>
    <x v="0"/>
    <n v="3.207788698768177E-2"/>
  </r>
  <r>
    <x v="290"/>
    <x v="3"/>
    <d v="2024-08-27T00:00:00"/>
    <x v="2"/>
    <x v="7"/>
    <x v="1"/>
    <n v="6324"/>
    <n v="908"/>
    <n v="375"/>
    <n v="758"/>
    <n v="34850"/>
    <n v="241039"/>
    <x v="0"/>
    <n v="3.1559208260903839E-2"/>
  </r>
  <r>
    <x v="291"/>
    <x v="1"/>
    <d v="2024-12-05T00:00:00"/>
    <x v="1"/>
    <x v="3"/>
    <x v="3"/>
    <n v="4125"/>
    <n v="1364"/>
    <n v="319"/>
    <n v="2848"/>
    <n v="15379"/>
    <n v="188159"/>
    <x v="2"/>
    <n v="3.0867510988047343E-2"/>
  </r>
  <r>
    <x v="292"/>
    <x v="3"/>
    <d v="2024-09-11T00:00:00"/>
    <x v="2"/>
    <x v="4"/>
    <x v="5"/>
    <n v="3906"/>
    <n v="1187"/>
    <n v="589"/>
    <n v="401"/>
    <n v="52687"/>
    <n v="196498"/>
    <x v="0"/>
    <n v="2.8916324848090057E-2"/>
  </r>
  <r>
    <x v="293"/>
    <x v="1"/>
    <d v="2025-01-12T00:00:00"/>
    <x v="2"/>
    <x v="3"/>
    <x v="4"/>
    <n v="4590"/>
    <n v="713"/>
    <n v="479"/>
    <n v="2730"/>
    <n v="41050"/>
    <n v="204246"/>
    <x v="3"/>
    <n v="2.8308999931455206E-2"/>
  </r>
  <r>
    <x v="294"/>
    <x v="0"/>
    <d v="2024-08-19T00:00:00"/>
    <x v="0"/>
    <x v="8"/>
    <x v="8"/>
    <n v="3605"/>
    <n v="206"/>
    <n v="921"/>
    <n v="852"/>
    <n v="11660"/>
    <n v="182635"/>
    <x v="1"/>
    <n v="2.590960111698196E-2"/>
  </r>
  <r>
    <x v="295"/>
    <x v="1"/>
    <d v="2025-09-15T00:00:00"/>
    <x v="1"/>
    <x v="5"/>
    <x v="6"/>
    <n v="5636"/>
    <n v="303"/>
    <n v="204"/>
    <n v="2480"/>
    <n v="7377"/>
    <n v="241207"/>
    <x v="4"/>
    <n v="2.5467751765081443E-2"/>
  </r>
  <r>
    <x v="296"/>
    <x v="0"/>
    <d v="2024-06-17T00:00:00"/>
    <x v="2"/>
    <x v="0"/>
    <x v="0"/>
    <n v="3252"/>
    <n v="1043"/>
    <n v="647"/>
    <n v="1545"/>
    <n v="18859"/>
    <n v="222958"/>
    <x v="0"/>
    <n v="2.2165609666394567E-2"/>
  </r>
  <r>
    <x v="297"/>
    <x v="1"/>
    <d v="2024-06-06T00:00:00"/>
    <x v="3"/>
    <x v="10"/>
    <x v="10"/>
    <n v="3531"/>
    <n v="789"/>
    <n v="467"/>
    <n v="1867"/>
    <n v="40816"/>
    <n v="236037"/>
    <x v="3"/>
    <n v="2.0280718700881641E-2"/>
  </r>
  <r>
    <x v="298"/>
    <x v="1"/>
    <d v="2024-08-12T00:00:00"/>
    <x v="0"/>
    <x v="3"/>
    <x v="4"/>
    <n v="3581"/>
    <n v="517"/>
    <n v="880"/>
    <n v="1925"/>
    <n v="18636"/>
    <n v="248611"/>
    <x v="1"/>
    <n v="2.0023249172401864E-2"/>
  </r>
  <r>
    <x v="299"/>
    <x v="0"/>
    <d v="2024-11-28T00:00:00"/>
    <x v="3"/>
    <x v="3"/>
    <x v="3"/>
    <n v="2302"/>
    <n v="347"/>
    <n v="642"/>
    <n v="2175"/>
    <n v="56378"/>
    <n v="198056"/>
    <x v="2"/>
    <n v="1.6616512501514722E-2"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  <r>
    <x v="300"/>
    <x v="4"/>
    <m/>
    <x v="4"/>
    <x v="11"/>
    <x v="1"/>
    <m/>
    <m/>
    <m/>
    <m/>
    <m/>
    <m/>
    <x v="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138"/>
    <n v="361"/>
    <n v="103777"/>
    <n v="56.637790647253247"/>
    <n v="23944"/>
  </r>
  <r>
    <x v="0"/>
    <x v="1"/>
    <n v="8693"/>
    <n v="1261"/>
    <n v="111209"/>
    <n v="69.475492091467416"/>
    <n v="29873"/>
  </r>
  <r>
    <x v="0"/>
    <x v="2"/>
    <n v="9264"/>
    <n v="1141"/>
    <n v="119332"/>
    <n v="92.312204605638044"/>
    <n v="50372"/>
  </r>
  <r>
    <x v="0"/>
    <x v="2"/>
    <n v="8842"/>
    <n v="971"/>
    <n v="127203"/>
    <n v="16.351815601833291"/>
    <n v="33928"/>
  </r>
  <r>
    <x v="1"/>
    <x v="0"/>
    <n v="7721"/>
    <n v="506"/>
    <n v="134418"/>
    <n v="35.577824398518047"/>
    <n v="25379"/>
  </r>
  <r>
    <x v="1"/>
    <x v="2"/>
    <n v="8002"/>
    <n v="524"/>
    <n v="141896"/>
    <n v="52.064892597395271"/>
    <n v="46751"/>
  </r>
  <r>
    <x v="1"/>
    <x v="1"/>
    <n v="5225"/>
    <n v="291"/>
    <n v="146830"/>
    <n v="19.551862698358651"/>
    <n v="44546"/>
  </r>
  <r>
    <x v="1"/>
    <x v="1"/>
    <n v="3978"/>
    <n v="543"/>
    <n v="150265"/>
    <n v="49.159817655475329"/>
    <n v="34286"/>
  </r>
  <r>
    <x v="2"/>
    <x v="0"/>
    <n v="8373"/>
    <n v="921"/>
    <n v="157717"/>
    <n v="12.2263294381709"/>
    <n v="15110"/>
  </r>
  <r>
    <x v="2"/>
    <x v="1"/>
    <n v="6907"/>
    <n v="834"/>
    <n v="163790"/>
    <n v="54.158984064961238"/>
    <n v="22087"/>
  </r>
  <r>
    <x v="2"/>
    <x v="3"/>
    <n v="7097"/>
    <n v="369"/>
    <n v="170518"/>
    <n v="9.2506362964613711"/>
    <n v="33762"/>
  </r>
  <r>
    <x v="2"/>
    <x v="0"/>
    <n v="6656"/>
    <n v="978"/>
    <n v="176196"/>
    <n v="60.425889350496043"/>
    <n v="27081"/>
  </r>
  <r>
    <x v="3"/>
    <x v="1"/>
    <n v="9984"/>
    <n v="1330"/>
    <n v="184850"/>
    <n v="57.524479307546663"/>
    <n v="44947"/>
  </r>
  <r>
    <x v="3"/>
    <x v="0"/>
    <n v="5259"/>
    <n v="374"/>
    <n v="189735"/>
    <n v="14.827522597306769"/>
    <n v="19596"/>
  </r>
  <r>
    <x v="3"/>
    <x v="2"/>
    <n v="9286"/>
    <n v="633"/>
    <n v="198388"/>
    <n v="5.4343004617214756"/>
    <n v="48019"/>
  </r>
  <r>
    <x v="3"/>
    <x v="1"/>
    <n v="6901"/>
    <n v="471"/>
    <n v="204818"/>
    <n v="60.827661631301943"/>
    <n v="52003"/>
  </r>
  <r>
    <x v="4"/>
    <x v="3"/>
    <n v="5917"/>
    <n v="475"/>
    <n v="210260"/>
    <n v="17.894035955483691"/>
    <n v="28313"/>
  </r>
  <r>
    <x v="4"/>
    <x v="1"/>
    <n v="9429"/>
    <n v="966"/>
    <n v="218723"/>
    <n v="7.6914636320825887"/>
    <n v="57639"/>
  </r>
  <r>
    <x v="4"/>
    <x v="0"/>
    <n v="3530"/>
    <n v="328"/>
    <n v="221925"/>
    <n v="12.8372197814577"/>
    <n v="11013"/>
  </r>
  <r>
    <x v="4"/>
    <x v="0"/>
    <n v="2960"/>
    <n v="234"/>
    <n v="224651"/>
    <n v="17.41278694508371"/>
    <n v="59378"/>
  </r>
  <r>
    <x v="5"/>
    <x v="1"/>
    <n v="8045"/>
    <n v="894"/>
    <n v="231802"/>
    <n v="47.634187798207087"/>
    <n v="33705"/>
  </r>
  <r>
    <x v="5"/>
    <x v="3"/>
    <n v="2048"/>
    <n v="130"/>
    <n v="233720"/>
    <n v="39.284614068115687"/>
    <n v="11828"/>
  </r>
  <r>
    <x v="5"/>
    <x v="3"/>
    <n v="6772"/>
    <n v="536"/>
    <n v="239956"/>
    <n v="9.8205504342462788"/>
    <n v="17909"/>
  </r>
  <r>
    <x v="5"/>
    <x v="3"/>
    <n v="3529"/>
    <n v="305"/>
    <n v="243180"/>
    <n v="41.606628834608109"/>
    <n v="48356"/>
  </r>
  <r>
    <x v="6"/>
    <x v="0"/>
    <n v="3964"/>
    <n v="378"/>
    <n v="246766"/>
    <n v="13.6355899921383"/>
    <n v="23109"/>
  </r>
  <r>
    <x v="6"/>
    <x v="1"/>
    <n v="8137"/>
    <n v="1045"/>
    <n v="253858"/>
    <n v="20.47246886054408"/>
    <n v="12023"/>
  </r>
  <r>
    <x v="6"/>
    <x v="2"/>
    <n v="1963"/>
    <n v="137"/>
    <n v="255684"/>
    <n v="11.2083665774941"/>
    <n v="24537"/>
  </r>
  <r>
    <x v="6"/>
    <x v="0"/>
    <n v="1536"/>
    <n v="155"/>
    <n v="257065"/>
    <n v="12.15762550327738"/>
    <n v="36661"/>
  </r>
  <r>
    <x v="7"/>
    <x v="3"/>
    <n v="8340"/>
    <n v="911"/>
    <n v="264494"/>
    <n v="37.302925586213682"/>
    <n v="48659"/>
  </r>
  <r>
    <x v="7"/>
    <x v="1"/>
    <n v="8179"/>
    <n v="446"/>
    <n v="272227"/>
    <n v="41.82171496581897"/>
    <n v="43848"/>
  </r>
  <r>
    <x v="7"/>
    <x v="3"/>
    <n v="8967"/>
    <n v="993"/>
    <n v="280201"/>
    <n v="52.792102811910027"/>
    <n v="47804"/>
  </r>
  <r>
    <x v="7"/>
    <x v="2"/>
    <n v="9734"/>
    <n v="652"/>
    <n v="289283"/>
    <n v="49.647922622483861"/>
    <n v="25379"/>
  </r>
  <r>
    <x v="8"/>
    <x v="3"/>
    <n v="1845"/>
    <n v="104"/>
    <n v="291024"/>
    <n v="28.158158777282971"/>
    <n v="37766"/>
  </r>
  <r>
    <x v="8"/>
    <x v="3"/>
    <n v="6777"/>
    <n v="981"/>
    <n v="296820"/>
    <n v="23.920557913887201"/>
    <n v="53590"/>
  </r>
  <r>
    <x v="8"/>
    <x v="2"/>
    <n v="4036"/>
    <n v="591"/>
    <n v="300265"/>
    <n v="44.219272975538267"/>
    <n v="12563"/>
  </r>
  <r>
    <x v="8"/>
    <x v="1"/>
    <n v="6947"/>
    <n v="908"/>
    <n v="306304"/>
    <n v="14.117673944839121"/>
    <n v="46060"/>
  </r>
  <r>
    <x v="9"/>
    <x v="0"/>
    <n v="3494"/>
    <n v="281"/>
    <n v="309517"/>
    <n v="27.765518533715429"/>
    <n v="39197"/>
  </r>
  <r>
    <x v="9"/>
    <x v="1"/>
    <n v="3719"/>
    <n v="222"/>
    <n v="313014"/>
    <n v="21.669318305251519"/>
    <n v="13586"/>
  </r>
  <r>
    <x v="9"/>
    <x v="2"/>
    <n v="2884"/>
    <n v="341"/>
    <n v="315557"/>
    <n v="46.999749649033298"/>
    <n v="26087"/>
  </r>
  <r>
    <x v="9"/>
    <x v="3"/>
    <n v="5349"/>
    <n v="502"/>
    <n v="320404"/>
    <n v="5.2152906954969351"/>
    <n v="58868"/>
  </r>
  <r>
    <x v="10"/>
    <x v="1"/>
    <n v="6179"/>
    <n v="384"/>
    <n v="326199"/>
    <n v="14.71218489327067"/>
    <n v="33225"/>
  </r>
  <r>
    <x v="10"/>
    <x v="0"/>
    <n v="7610"/>
    <n v="757"/>
    <n v="333052"/>
    <n v="44.450416151231643"/>
    <n v="39750"/>
  </r>
  <r>
    <x v="10"/>
    <x v="2"/>
    <n v="7430"/>
    <n v="397"/>
    <n v="340085"/>
    <n v="28.065042562888689"/>
    <n v="16643"/>
  </r>
  <r>
    <x v="10"/>
    <x v="1"/>
    <n v="8154"/>
    <n v="1149"/>
    <n v="347090"/>
    <n v="26.003918292085629"/>
    <n v="37523"/>
  </r>
  <r>
    <x v="11"/>
    <x v="0"/>
    <n v="7488"/>
    <n v="568"/>
    <n v="354010"/>
    <n v="13.47730290104799"/>
    <n v="46727"/>
  </r>
  <r>
    <x v="11"/>
    <x v="2"/>
    <n v="5737"/>
    <n v="666"/>
    <n v="359081"/>
    <n v="4.6034181702735593"/>
    <n v="21005"/>
  </r>
  <r>
    <x v="11"/>
    <x v="0"/>
    <n v="7525"/>
    <n v="610"/>
    <n v="365996"/>
    <n v="5.7694619613329108"/>
    <n v="53543"/>
  </r>
  <r>
    <x v="11"/>
    <x v="2"/>
    <n v="4850"/>
    <n v="494"/>
    <n v="370352"/>
    <n v="20.46539508359615"/>
    <n v="10161"/>
  </r>
  <r>
    <x v="12"/>
    <x v="3"/>
    <n v="1689"/>
    <n v="176"/>
    <n v="371865"/>
    <n v="38.012181840183942"/>
    <n v="26029"/>
  </r>
  <r>
    <x v="12"/>
    <x v="1"/>
    <n v="6175"/>
    <n v="422"/>
    <n v="377618"/>
    <n v="37.86101298137271"/>
    <n v="59745"/>
  </r>
  <r>
    <x v="12"/>
    <x v="0"/>
    <n v="9648"/>
    <n v="1417"/>
    <n v="385849"/>
    <n v="3.6633501706626168"/>
    <n v="24226"/>
  </r>
  <r>
    <x v="12"/>
    <x v="2"/>
    <n v="6078"/>
    <n v="775"/>
    <n v="391152"/>
    <n v="37.760512537325639"/>
    <n v="38731"/>
  </r>
  <r>
    <x v="13"/>
    <x v="0"/>
    <n v="6448"/>
    <n v="928"/>
    <n v="396672"/>
    <n v="30.118586640851881"/>
    <n v="53922"/>
  </r>
  <r>
    <x v="13"/>
    <x v="0"/>
    <n v="2179"/>
    <n v="303"/>
    <n v="398548"/>
    <n v="33.909842729106657"/>
    <n v="54848"/>
  </r>
  <r>
    <x v="13"/>
    <x v="1"/>
    <n v="7406"/>
    <n v="813"/>
    <n v="405141"/>
    <n v="24.457411123534769"/>
    <n v="13390"/>
  </r>
  <r>
    <x v="13"/>
    <x v="3"/>
    <n v="9591"/>
    <n v="1363"/>
    <n v="413369"/>
    <n v="10.494255737609739"/>
    <n v="15997"/>
  </r>
  <r>
    <x v="14"/>
    <x v="0"/>
    <n v="7907"/>
    <n v="465"/>
    <n v="420811"/>
    <n v="33.257448118038738"/>
    <n v="22693"/>
  </r>
  <r>
    <x v="14"/>
    <x v="2"/>
    <n v="9800"/>
    <n v="682"/>
    <n v="429929"/>
    <n v="6.2966210699906267"/>
    <n v="59815"/>
  </r>
  <r>
    <x v="14"/>
    <x v="2"/>
    <n v="2638"/>
    <n v="143"/>
    <n v="432424"/>
    <n v="6.9547481175882924"/>
    <n v="52092"/>
  </r>
  <r>
    <x v="14"/>
    <x v="3"/>
    <n v="6671"/>
    <n v="550"/>
    <n v="438545"/>
    <n v="17.750287883797562"/>
    <n v="10541"/>
  </r>
  <r>
    <x v="15"/>
    <x v="2"/>
    <n v="7928"/>
    <n v="704"/>
    <n v="445769"/>
    <n v="11.194362999670229"/>
    <n v="31817"/>
  </r>
  <r>
    <x v="15"/>
    <x v="3"/>
    <n v="2382"/>
    <n v="183"/>
    <n v="447968"/>
    <n v="4.7335970426459033"/>
    <n v="47861"/>
  </r>
  <r>
    <x v="15"/>
    <x v="2"/>
    <n v="2403"/>
    <n v="319"/>
    <n v="450052"/>
    <n v="29.92120910472568"/>
    <n v="23428"/>
  </r>
  <r>
    <x v="15"/>
    <x v="1"/>
    <n v="4292"/>
    <n v="367"/>
    <n v="453977"/>
    <n v="3.5037017293827661"/>
    <n v="53934"/>
  </r>
  <r>
    <x v="16"/>
    <x v="0"/>
    <n v="1419"/>
    <n v="110"/>
    <n v="455286"/>
    <n v="31.554451487636339"/>
    <n v="58831"/>
  </r>
  <r>
    <x v="16"/>
    <x v="1"/>
    <n v="5517"/>
    <n v="575"/>
    <n v="460228"/>
    <n v="29.45844233727631"/>
    <n v="20258"/>
  </r>
  <r>
    <x v="16"/>
    <x v="0"/>
    <n v="4302"/>
    <n v="275"/>
    <n v="464255"/>
    <n v="15.72131694865968"/>
    <n v="26044"/>
  </r>
  <r>
    <x v="16"/>
    <x v="0"/>
    <n v="8857"/>
    <n v="1153"/>
    <n v="471959"/>
    <n v="19.214592793018038"/>
    <n v="39411"/>
  </r>
  <r>
    <x v="17"/>
    <x v="0"/>
    <n v="8870"/>
    <n v="509"/>
    <n v="480320"/>
    <n v="25.077864756828781"/>
    <n v="15469"/>
  </r>
  <r>
    <x v="17"/>
    <x v="1"/>
    <n v="6693"/>
    <n v="995"/>
    <n v="486018"/>
    <n v="23.761877132122681"/>
    <n v="38854"/>
  </r>
  <r>
    <x v="17"/>
    <x v="0"/>
    <n v="1767"/>
    <n v="224"/>
    <n v="487561"/>
    <n v="13.208603641390511"/>
    <n v="16256"/>
  </r>
  <r>
    <x v="17"/>
    <x v="1"/>
    <n v="3044"/>
    <n v="212"/>
    <n v="490393"/>
    <n v="8.5343795690395261"/>
    <n v="20720"/>
  </r>
  <r>
    <x v="18"/>
    <x v="3"/>
    <n v="2549"/>
    <n v="128"/>
    <n v="492814"/>
    <n v="12.734216154573531"/>
    <n v="43937"/>
  </r>
  <r>
    <x v="18"/>
    <x v="2"/>
    <n v="7140"/>
    <n v="939"/>
    <n v="499015"/>
    <n v="25.120888149654821"/>
    <n v="43598"/>
  </r>
  <r>
    <x v="18"/>
    <x v="2"/>
    <n v="4716"/>
    <n v="569"/>
    <n v="503162"/>
    <n v="25.64820077827817"/>
    <n v="11651"/>
  </r>
  <r>
    <x v="18"/>
    <x v="0"/>
    <n v="5481"/>
    <n v="673"/>
    <n v="507970"/>
    <n v="13.08758391243577"/>
    <n v="29194"/>
  </r>
  <r>
    <x v="19"/>
    <x v="1"/>
    <n v="8898"/>
    <n v="1131"/>
    <n v="515737"/>
    <n v="2.1877429775253669"/>
    <n v="35051"/>
  </r>
  <r>
    <x v="19"/>
    <x v="2"/>
    <n v="7548"/>
    <n v="433"/>
    <n v="522852"/>
    <n v="8.3562843787534522"/>
    <n v="37386"/>
  </r>
  <r>
    <x v="19"/>
    <x v="1"/>
    <n v="3293"/>
    <n v="282"/>
    <n v="525863"/>
    <n v="27.040693108281051"/>
    <n v="19518"/>
  </r>
  <r>
    <x v="19"/>
    <x v="1"/>
    <n v="5837"/>
    <n v="359"/>
    <n v="531341"/>
    <n v="6.8073045370110723"/>
    <n v="56026"/>
  </r>
  <r>
    <x v="20"/>
    <x v="0"/>
    <n v="8758"/>
    <n v="1193"/>
    <n v="538906"/>
    <n v="3.4213758985797149"/>
    <n v="26184"/>
  </r>
  <r>
    <x v="20"/>
    <x v="2"/>
    <n v="7793"/>
    <n v="875"/>
    <n v="545824"/>
    <n v="5.5136820660139527"/>
    <n v="43787"/>
  </r>
  <r>
    <x v="20"/>
    <x v="0"/>
    <n v="8638"/>
    <n v="717"/>
    <n v="553745"/>
    <n v="26.921416897669499"/>
    <n v="31621"/>
  </r>
  <r>
    <x v="20"/>
    <x v="0"/>
    <n v="8993"/>
    <n v="506"/>
    <n v="562232"/>
    <n v="3.5131404829323132"/>
    <n v="20028"/>
  </r>
  <r>
    <x v="21"/>
    <x v="2"/>
    <n v="7007"/>
    <n v="568"/>
    <n v="568671"/>
    <n v="11.50507059442103"/>
    <n v="22448"/>
  </r>
  <r>
    <x v="21"/>
    <x v="2"/>
    <n v="6542"/>
    <n v="539"/>
    <n v="574674"/>
    <n v="6.4069368024305948"/>
    <n v="55253"/>
  </r>
  <r>
    <x v="21"/>
    <x v="3"/>
    <n v="7356"/>
    <n v="904"/>
    <n v="581126"/>
    <n v="17.560907617280929"/>
    <n v="44051"/>
  </r>
  <r>
    <x v="21"/>
    <x v="3"/>
    <n v="9433"/>
    <n v="1073"/>
    <n v="589486"/>
    <n v="7.2934726185185053"/>
    <n v="59811"/>
  </r>
  <r>
    <x v="22"/>
    <x v="1"/>
    <n v="8380"/>
    <n v="1162"/>
    <n v="596704"/>
    <n v="18.05853488496809"/>
    <n v="40447"/>
  </r>
  <r>
    <x v="22"/>
    <x v="2"/>
    <n v="3385"/>
    <n v="329"/>
    <n v="599760"/>
    <n v="17.61788048552755"/>
    <n v="28394"/>
  </r>
  <r>
    <x v="22"/>
    <x v="3"/>
    <n v="5268"/>
    <n v="326"/>
    <n v="604702"/>
    <n v="23.435841125050029"/>
    <n v="44501"/>
  </r>
  <r>
    <x v="22"/>
    <x v="1"/>
    <n v="1671"/>
    <n v="202"/>
    <n v="606171"/>
    <n v="15.150015424690389"/>
    <n v="40254"/>
  </r>
  <r>
    <x v="23"/>
    <x v="1"/>
    <n v="1163"/>
    <n v="146"/>
    <n v="607188"/>
    <n v="21.77776899411715"/>
    <n v="28509"/>
  </r>
  <r>
    <x v="23"/>
    <x v="1"/>
    <n v="9656"/>
    <n v="1024"/>
    <n v="615820"/>
    <n v="8.7252768666168681"/>
    <n v="58998"/>
  </r>
  <r>
    <x v="23"/>
    <x v="3"/>
    <n v="5592"/>
    <n v="710"/>
    <n v="620702"/>
    <n v="9.07118069540617"/>
    <n v="24472"/>
  </r>
  <r>
    <x v="23"/>
    <x v="2"/>
    <n v="5795"/>
    <n v="575"/>
    <n v="625922"/>
    <n v="3.0908004511744269"/>
    <n v="55657"/>
  </r>
  <r>
    <x v="24"/>
    <x v="0"/>
    <n v="5798"/>
    <n v="592"/>
    <n v="631128"/>
    <n v="1.6774727155188811"/>
    <n v="13471"/>
  </r>
  <r>
    <x v="24"/>
    <x v="1"/>
    <n v="7036"/>
    <n v="652"/>
    <n v="637512"/>
    <n v="3.5705994553828009"/>
    <n v="51796"/>
  </r>
  <r>
    <x v="24"/>
    <x v="3"/>
    <n v="3355"/>
    <n v="176"/>
    <n v="640691"/>
    <n v="12.426427091999111"/>
    <n v="40268"/>
  </r>
  <r>
    <x v="24"/>
    <x v="3"/>
    <n v="6887"/>
    <n v="418"/>
    <n v="647160"/>
    <n v="20.240280610668151"/>
    <n v="18329"/>
  </r>
  <r>
    <x v="25"/>
    <x v="0"/>
    <n v="8961"/>
    <n v="476"/>
    <n v="655645"/>
    <n v="15.458517947974901"/>
    <n v="44865"/>
  </r>
  <r>
    <x v="25"/>
    <x v="0"/>
    <n v="6827"/>
    <n v="775"/>
    <n v="661697"/>
    <n v="15.96622018839439"/>
    <n v="56850"/>
  </r>
  <r>
    <x v="25"/>
    <x v="3"/>
    <n v="9737"/>
    <n v="792"/>
    <n v="670642"/>
    <n v="5.301785453341723"/>
    <n v="56698"/>
  </r>
  <r>
    <x v="25"/>
    <x v="2"/>
    <n v="5719"/>
    <n v="576"/>
    <n v="675785"/>
    <n v="10.21656296011305"/>
    <n v="38272"/>
  </r>
  <r>
    <x v="26"/>
    <x v="0"/>
    <n v="1593"/>
    <n v="224"/>
    <n v="677154"/>
    <n v="4.1495730660972248"/>
    <n v="52845"/>
  </r>
  <r>
    <x v="26"/>
    <x v="3"/>
    <n v="5839"/>
    <n v="437"/>
    <n v="682556"/>
    <n v="17.44750613869045"/>
    <n v="16397"/>
  </r>
  <r>
    <x v="26"/>
    <x v="0"/>
    <n v="8394"/>
    <n v="764"/>
    <n v="690186"/>
    <n v="6.3556780346167558"/>
    <n v="42373"/>
  </r>
  <r>
    <x v="26"/>
    <x v="2"/>
    <n v="4493"/>
    <n v="564"/>
    <n v="694115"/>
    <n v="16.625487131094989"/>
    <n v="45525"/>
  </r>
  <r>
    <x v="27"/>
    <x v="1"/>
    <n v="7164"/>
    <n v="522"/>
    <n v="700757"/>
    <n v="13.449169969047761"/>
    <n v="34570"/>
  </r>
  <r>
    <x v="27"/>
    <x v="0"/>
    <n v="3672"/>
    <n v="211"/>
    <n v="704218"/>
    <n v="12.35057894004413"/>
    <n v="28284"/>
  </r>
  <r>
    <x v="27"/>
    <x v="2"/>
    <n v="5200"/>
    <n v="410"/>
    <n v="709008"/>
    <n v="12.913394489201821"/>
    <n v="28994"/>
  </r>
  <r>
    <x v="27"/>
    <x v="3"/>
    <n v="1016"/>
    <n v="67"/>
    <n v="709957"/>
    <n v="20.774215903216671"/>
    <n v="33284"/>
  </r>
  <r>
    <x v="28"/>
    <x v="0"/>
    <n v="4191"/>
    <n v="599"/>
    <n v="713549"/>
    <n v="11.56416728213479"/>
    <n v="27833"/>
  </r>
  <r>
    <x v="28"/>
    <x v="0"/>
    <n v="1392"/>
    <n v="182"/>
    <n v="714759"/>
    <n v="5.9603306848881932"/>
    <n v="35122"/>
  </r>
  <r>
    <x v="28"/>
    <x v="3"/>
    <n v="9616"/>
    <n v="1089"/>
    <n v="723286"/>
    <n v="19.25863351426683"/>
    <n v="15017"/>
  </r>
  <r>
    <x v="28"/>
    <x v="1"/>
    <n v="7272"/>
    <n v="997"/>
    <n v="729561"/>
    <n v="13.428486445958599"/>
    <n v="26370"/>
  </r>
  <r>
    <x v="29"/>
    <x v="3"/>
    <n v="1571"/>
    <n v="204"/>
    <n v="730928"/>
    <n v="19.449384891535139"/>
    <n v="39252"/>
  </r>
  <r>
    <x v="29"/>
    <x v="0"/>
    <n v="4631"/>
    <n v="317"/>
    <n v="735242"/>
    <n v="1.381177897889402"/>
    <n v="17999"/>
  </r>
  <r>
    <x v="29"/>
    <x v="3"/>
    <n v="7172"/>
    <n v="998"/>
    <n v="741416"/>
    <n v="18.0667803230575"/>
    <n v="32436"/>
  </r>
  <r>
    <x v="29"/>
    <x v="2"/>
    <n v="8177"/>
    <n v="849"/>
    <n v="748744"/>
    <n v="10.34986590877523"/>
    <n v="52963"/>
  </r>
  <r>
    <x v="30"/>
    <x v="3"/>
    <n v="9433"/>
    <n v="1233"/>
    <n v="756944"/>
    <n v="11.391727789638329"/>
    <n v="12096"/>
  </r>
  <r>
    <x v="30"/>
    <x v="0"/>
    <n v="4897"/>
    <n v="683"/>
    <n v="761158"/>
    <n v="15.06231294947961"/>
    <n v="58201"/>
  </r>
  <r>
    <x v="30"/>
    <x v="3"/>
    <n v="9123"/>
    <n v="746"/>
    <n v="769535"/>
    <n v="6.3086149427901264"/>
    <n v="35279"/>
  </r>
  <r>
    <x v="30"/>
    <x v="1"/>
    <n v="3279"/>
    <n v="200"/>
    <n v="772614"/>
    <n v="5.0212654702089274"/>
    <n v="53363"/>
  </r>
  <r>
    <x v="31"/>
    <x v="3"/>
    <n v="9980"/>
    <n v="726"/>
    <n v="781868"/>
    <n v="4.0220344099003924"/>
    <n v="58709"/>
  </r>
  <r>
    <x v="31"/>
    <x v="1"/>
    <n v="8451"/>
    <n v="783"/>
    <n v="789536"/>
    <n v="12.407287318121019"/>
    <n v="36201"/>
  </r>
  <r>
    <x v="31"/>
    <x v="2"/>
    <n v="9906"/>
    <n v="1305"/>
    <n v="798137"/>
    <n v="9.1811305577864442"/>
    <n v="29715"/>
  </r>
  <r>
    <x v="31"/>
    <x v="1"/>
    <n v="1775"/>
    <n v="241"/>
    <n v="799671"/>
    <n v="8.1379717408784362"/>
    <n v="39309"/>
  </r>
  <r>
    <x v="32"/>
    <x v="3"/>
    <n v="7869"/>
    <n v="398"/>
    <n v="807142"/>
    <n v="15.211945357818079"/>
    <n v="25078"/>
  </r>
  <r>
    <x v="32"/>
    <x v="0"/>
    <n v="3247"/>
    <n v="328"/>
    <n v="810061"/>
    <n v="13.941172331466399"/>
    <n v="15105"/>
  </r>
  <r>
    <x v="32"/>
    <x v="1"/>
    <n v="8088"/>
    <n v="742"/>
    <n v="817407"/>
    <n v="14.664542877660701"/>
    <n v="39312"/>
  </r>
  <r>
    <x v="32"/>
    <x v="2"/>
    <n v="1078"/>
    <n v="77"/>
    <n v="818408"/>
    <n v="18.236747441373989"/>
    <n v="12839"/>
  </r>
  <r>
    <x v="33"/>
    <x v="1"/>
    <n v="9080"/>
    <n v="562"/>
    <n v="826926"/>
    <n v="7.1083748727213809"/>
    <n v="13384"/>
  </r>
  <r>
    <x v="33"/>
    <x v="1"/>
    <n v="8099"/>
    <n v="678"/>
    <n v="834347"/>
    <n v="7.6464588474579518"/>
    <n v="53619"/>
  </r>
  <r>
    <x v="33"/>
    <x v="1"/>
    <n v="4926"/>
    <n v="710"/>
    <n v="838563"/>
    <n v="12.96217457722318"/>
    <n v="52821"/>
  </r>
  <r>
    <x v="33"/>
    <x v="2"/>
    <n v="8340"/>
    <n v="686"/>
    <n v="846217"/>
    <n v="7.201344336027284"/>
    <n v="23493"/>
  </r>
  <r>
    <x v="34"/>
    <x v="3"/>
    <n v="8083"/>
    <n v="823"/>
    <n v="853477"/>
    <n v="4.6300017457998282"/>
    <n v="27069"/>
  </r>
  <r>
    <x v="34"/>
    <x v="1"/>
    <n v="7230"/>
    <n v="869"/>
    <n v="859838"/>
    <n v="7.0117859410726204"/>
    <n v="56907"/>
  </r>
  <r>
    <x v="34"/>
    <x v="1"/>
    <n v="5940"/>
    <n v="512"/>
    <n v="865266"/>
    <n v="15.7972230504839"/>
    <n v="17531"/>
  </r>
  <r>
    <x v="34"/>
    <x v="0"/>
    <n v="4271"/>
    <n v="628"/>
    <n v="868909"/>
    <n v="11.124410036033691"/>
    <n v="47051"/>
  </r>
  <r>
    <x v="35"/>
    <x v="2"/>
    <n v="4456"/>
    <n v="651"/>
    <n v="872714"/>
    <n v="9.5052903929580594"/>
    <n v="17736"/>
  </r>
  <r>
    <x v="35"/>
    <x v="1"/>
    <n v="8788"/>
    <n v="660"/>
    <n v="880842"/>
    <n v="3.7175793161543158"/>
    <n v="17710"/>
  </r>
  <r>
    <x v="35"/>
    <x v="2"/>
    <n v="9599"/>
    <n v="957"/>
    <n v="889484"/>
    <n v="8.768004820772493"/>
    <n v="11619"/>
  </r>
  <r>
    <x v="35"/>
    <x v="1"/>
    <n v="8650"/>
    <n v="692"/>
    <n v="897442"/>
    <n v="7.6673478620345374"/>
    <n v="23975"/>
  </r>
  <r>
    <x v="36"/>
    <x v="3"/>
    <n v="3711"/>
    <n v="291"/>
    <n v="900862"/>
    <n v="14.24879726306582"/>
    <n v="55603"/>
  </r>
  <r>
    <x v="36"/>
    <x v="3"/>
    <n v="2668"/>
    <n v="143"/>
    <n v="903387"/>
    <n v="15.903372530266649"/>
    <n v="33252"/>
  </r>
  <r>
    <x v="36"/>
    <x v="1"/>
    <n v="1147"/>
    <n v="127"/>
    <n v="904407"/>
    <n v="1.3997016829812241"/>
    <n v="25261"/>
  </r>
  <r>
    <x v="36"/>
    <x v="3"/>
    <n v="7420"/>
    <n v="743"/>
    <n v="911084"/>
    <n v="10.593534734448189"/>
    <n v="11431"/>
  </r>
  <r>
    <x v="37"/>
    <x v="1"/>
    <n v="1365"/>
    <n v="75"/>
    <n v="912374"/>
    <n v="9.2688963078737441"/>
    <n v="19067"/>
  </r>
  <r>
    <x v="37"/>
    <x v="3"/>
    <n v="5531"/>
    <n v="430"/>
    <n v="917475"/>
    <n v="2.7289026948963189"/>
    <n v="47481"/>
  </r>
  <r>
    <x v="37"/>
    <x v="0"/>
    <n v="6330"/>
    <n v="891"/>
    <n v="922914"/>
    <n v="14.789893749580139"/>
    <n v="37037"/>
  </r>
  <r>
    <x v="37"/>
    <x v="0"/>
    <n v="6510"/>
    <n v="481"/>
    <n v="928943"/>
    <n v="2.3800168578696428"/>
    <n v="19557"/>
  </r>
  <r>
    <x v="38"/>
    <x v="0"/>
    <n v="9754"/>
    <n v="629"/>
    <n v="938068"/>
    <n v="3.4123325814333292"/>
    <n v="19435"/>
  </r>
  <r>
    <x v="38"/>
    <x v="2"/>
    <n v="9964"/>
    <n v="985"/>
    <n v="947047"/>
    <n v="1.9837452629066989"/>
    <n v="47766"/>
  </r>
  <r>
    <x v="38"/>
    <x v="2"/>
    <n v="7493"/>
    <n v="1113"/>
    <n v="953427"/>
    <n v="15.684892498324469"/>
    <n v="10162"/>
  </r>
  <r>
    <x v="38"/>
    <x v="0"/>
    <n v="6439"/>
    <n v="477"/>
    <n v="959389"/>
    <n v="7.4744446725989153"/>
    <n v="44742"/>
  </r>
  <r>
    <x v="39"/>
    <x v="2"/>
    <n v="7511"/>
    <n v="880"/>
    <n v="966020"/>
    <n v="4.6083932009689246"/>
    <n v="29675"/>
  </r>
  <r>
    <x v="39"/>
    <x v="3"/>
    <n v="8504"/>
    <n v="1072"/>
    <n v="973452"/>
    <n v="6.5651927367759271"/>
    <n v="18461"/>
  </r>
  <r>
    <x v="39"/>
    <x v="1"/>
    <n v="2246"/>
    <n v="165"/>
    <n v="975533"/>
    <n v="2.9062061457685191"/>
    <n v="27015"/>
  </r>
  <r>
    <x v="39"/>
    <x v="1"/>
    <n v="4839"/>
    <n v="594"/>
    <n v="979778"/>
    <n v="2.5803804535313102"/>
    <n v="42591"/>
  </r>
  <r>
    <x v="40"/>
    <x v="1"/>
    <n v="9551"/>
    <n v="828"/>
    <n v="988501"/>
    <n v="1.525036393488727"/>
    <n v="38047"/>
  </r>
  <r>
    <x v="40"/>
    <x v="0"/>
    <n v="3376"/>
    <n v="382"/>
    <n v="991495"/>
    <n v="3.8694093263203548"/>
    <n v="44782"/>
  </r>
  <r>
    <x v="40"/>
    <x v="2"/>
    <n v="4009"/>
    <n v="454"/>
    <n v="995050"/>
    <n v="2.1106477061454201"/>
    <n v="19833"/>
  </r>
  <r>
    <x v="40"/>
    <x v="3"/>
    <n v="2827"/>
    <n v="292"/>
    <n v="997585"/>
    <n v="2.4004972007397871"/>
    <n v="17896"/>
  </r>
  <r>
    <x v="41"/>
    <x v="3"/>
    <n v="7979"/>
    <n v="470"/>
    <n v="1005094"/>
    <n v="10.43086517280971"/>
    <n v="42972"/>
  </r>
  <r>
    <x v="41"/>
    <x v="0"/>
    <n v="9569"/>
    <n v="1277"/>
    <n v="1013386"/>
    <n v="12.45517502708741"/>
    <n v="59733"/>
  </r>
  <r>
    <x v="41"/>
    <x v="3"/>
    <n v="5285"/>
    <n v="433"/>
    <n v="1018238"/>
    <n v="8.7022876773406619"/>
    <n v="51800"/>
  </r>
  <r>
    <x v="41"/>
    <x v="3"/>
    <n v="7910"/>
    <n v="543"/>
    <n v="1025605"/>
    <n v="6.0590578244060822"/>
    <n v="40508"/>
  </r>
  <r>
    <x v="42"/>
    <x v="3"/>
    <n v="9561"/>
    <n v="517"/>
    <n v="1034649"/>
    <n v="6.4086467971263694"/>
    <n v="15347"/>
  </r>
  <r>
    <x v="42"/>
    <x v="3"/>
    <n v="3196"/>
    <n v="348"/>
    <n v="1037497"/>
    <n v="14.03040201562029"/>
    <n v="40314"/>
  </r>
  <r>
    <x v="42"/>
    <x v="2"/>
    <n v="4747"/>
    <n v="558"/>
    <n v="1041686"/>
    <n v="5.7680529449373434"/>
    <n v="12643"/>
  </r>
  <r>
    <x v="42"/>
    <x v="3"/>
    <n v="9843"/>
    <n v="508"/>
    <n v="1051021"/>
    <n v="4.2080986012648651"/>
    <n v="50785"/>
  </r>
  <r>
    <x v="43"/>
    <x v="1"/>
    <n v="6978"/>
    <n v="706"/>
    <n v="1057293"/>
    <n v="5.057443868445171"/>
    <n v="28681"/>
  </r>
  <r>
    <x v="43"/>
    <x v="0"/>
    <n v="6607"/>
    <n v="479"/>
    <n v="1063421"/>
    <n v="5.5892257158735816"/>
    <n v="48328"/>
  </r>
  <r>
    <x v="43"/>
    <x v="2"/>
    <n v="1769"/>
    <n v="202"/>
    <n v="1064988"/>
    <n v="6.5457075572682513"/>
    <n v="25892"/>
  </r>
  <r>
    <x v="43"/>
    <x v="3"/>
    <n v="1780"/>
    <n v="120"/>
    <n v="1066648"/>
    <n v="13.86474263299608"/>
    <n v="57299"/>
  </r>
  <r>
    <x v="44"/>
    <x v="2"/>
    <n v="7303"/>
    <n v="869"/>
    <n v="1073082"/>
    <n v="8.1237966902808925"/>
    <n v="27073"/>
  </r>
  <r>
    <x v="44"/>
    <x v="3"/>
    <n v="4983"/>
    <n v="441"/>
    <n v="1077624"/>
    <n v="6.8954477628560609"/>
    <n v="46768"/>
  </r>
  <r>
    <x v="44"/>
    <x v="1"/>
    <n v="9714"/>
    <n v="1395"/>
    <n v="1085943"/>
    <n v="5.2243073531483697"/>
    <n v="40682"/>
  </r>
  <r>
    <x v="44"/>
    <x v="0"/>
    <n v="1521"/>
    <n v="96"/>
    <n v="1087368"/>
    <n v="12.709772588488899"/>
    <n v="42262"/>
  </r>
  <r>
    <x v="45"/>
    <x v="3"/>
    <n v="8569"/>
    <n v="720"/>
    <n v="1095217"/>
    <n v="9.589697749395782"/>
    <n v="41358"/>
  </r>
  <r>
    <x v="45"/>
    <x v="3"/>
    <n v="6784"/>
    <n v="416"/>
    <n v="1101585"/>
    <n v="9.3041390360253633"/>
    <n v="24289"/>
  </r>
  <r>
    <x v="45"/>
    <x v="3"/>
    <n v="5583"/>
    <n v="795"/>
    <n v="1106373"/>
    <n v="12.21550055903389"/>
    <n v="59823"/>
  </r>
  <r>
    <x v="45"/>
    <x v="3"/>
    <n v="6946"/>
    <n v="956"/>
    <n v="1112363"/>
    <n v="1.64146056637986"/>
    <n v="17927"/>
  </r>
  <r>
    <x v="46"/>
    <x v="0"/>
    <n v="5941"/>
    <n v="450"/>
    <n v="1117854"/>
    <n v="12.414411899944"/>
    <n v="58330"/>
  </r>
  <r>
    <x v="46"/>
    <x v="0"/>
    <n v="7267"/>
    <n v="842"/>
    <n v="1124279"/>
    <n v="2.2102165031989389"/>
    <n v="11171"/>
  </r>
  <r>
    <x v="46"/>
    <x v="1"/>
    <n v="8128"/>
    <n v="1070"/>
    <n v="1131337"/>
    <n v="8.1114645768679008"/>
    <n v="21918"/>
  </r>
  <r>
    <x v="46"/>
    <x v="0"/>
    <n v="3461"/>
    <n v="365"/>
    <n v="1134433"/>
    <n v="10.23489267325616"/>
    <n v="51903"/>
  </r>
  <r>
    <x v="47"/>
    <x v="3"/>
    <n v="1685"/>
    <n v="173"/>
    <n v="1135945"/>
    <n v="8.7776256772995165"/>
    <n v="49110"/>
  </r>
  <r>
    <x v="47"/>
    <x v="1"/>
    <n v="3160"/>
    <n v="234"/>
    <n v="1138871"/>
    <n v="5.6959041015180816"/>
    <n v="21929"/>
  </r>
  <r>
    <x v="47"/>
    <x v="1"/>
    <n v="8031"/>
    <n v="476"/>
    <n v="1146426"/>
    <n v="11.940413075069831"/>
    <n v="12539"/>
  </r>
  <r>
    <x v="47"/>
    <x v="1"/>
    <n v="6341"/>
    <n v="885"/>
    <n v="1151882"/>
    <n v="6.3457020771224837"/>
    <n v="46727"/>
  </r>
  <r>
    <x v="48"/>
    <x v="3"/>
    <n v="1038"/>
    <n v="145"/>
    <n v="1152775"/>
    <n v="11.093752033137431"/>
    <n v="55951"/>
  </r>
  <r>
    <x v="48"/>
    <x v="2"/>
    <n v="5875"/>
    <n v="665"/>
    <n v="1157985"/>
    <n v="6.9871371390821126"/>
    <n v="32669"/>
  </r>
  <r>
    <x v="48"/>
    <x v="3"/>
    <n v="2256"/>
    <n v="189"/>
    <n v="1160052"/>
    <n v="2.8935771844710412"/>
    <n v="15432"/>
  </r>
  <r>
    <x v="48"/>
    <x v="0"/>
    <n v="8697"/>
    <n v="738"/>
    <n v="1168011"/>
    <n v="3.8777032065622672"/>
    <n v="30644"/>
  </r>
  <r>
    <x v="49"/>
    <x v="0"/>
    <n v="3196"/>
    <n v="391"/>
    <n v="1170816"/>
    <n v="7.2439221876024931"/>
    <n v="28745"/>
  </r>
  <r>
    <x v="49"/>
    <x v="3"/>
    <n v="8165"/>
    <n v="1140"/>
    <n v="1177841"/>
    <n v="9.095964565675672"/>
    <n v="38228"/>
  </r>
  <r>
    <x v="49"/>
    <x v="3"/>
    <n v="1301"/>
    <n v="180"/>
    <n v="1178962"/>
    <n v="5.2275645864752214"/>
    <n v="44521"/>
  </r>
  <r>
    <x v="49"/>
    <x v="1"/>
    <n v="8527"/>
    <n v="1091"/>
    <n v="1186398"/>
    <n v="1.676081719625286"/>
    <n v="41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46489-0914-47E2-A1E7-C7ACD37A0C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D33" firstHeaderRow="0" firstDataRow="1" firstDataCol="1"/>
  <pivotFields count="14">
    <pivotField showAll="0"/>
    <pivotField axis="axisRow" showAll="0" sortType="descending">
      <items count="6">
        <item h="1" x="4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3"/>
    </i>
    <i>
      <x v="2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6" baseField="0" baseItem="0"/>
    <dataField name="Sum of Shares" fld="7" baseField="0" baseItem="0"/>
    <dataField name="Sum of Comment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7C1F3-2377-44C5-AF3D-C1EB7A2E7C8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18" firstHeaderRow="1" firstDataRow="1" firstDataCol="1"/>
  <pivotFields count="14">
    <pivotField showAll="0"/>
    <pivotField showAll="0"/>
    <pivotField showAll="0"/>
    <pivotField showAll="0"/>
    <pivotField axis="axisRow" showAll="0" sortType="descending">
      <items count="13">
        <item h="1" x="11"/>
        <item sd="0" x="10"/>
        <item x="1"/>
        <item x="7"/>
        <item x="5"/>
        <item x="8"/>
        <item x="9"/>
        <item x="2"/>
        <item x="4"/>
        <item sd="0" x="0"/>
        <item sd="0"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12">
        <item h="1" x="1"/>
        <item x="8"/>
        <item x="3"/>
        <item x="4"/>
        <item x="7"/>
        <item x="2"/>
        <item x="5"/>
        <item x="0"/>
        <item x="6"/>
        <item x="9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4"/>
    <field x="5"/>
  </rowFields>
  <rowItems count="16">
    <i>
      <x v="6"/>
    </i>
    <i r="1">
      <x v="9"/>
    </i>
    <i>
      <x v="8"/>
    </i>
    <i r="1">
      <x v="6"/>
    </i>
    <i>
      <x v="5"/>
    </i>
    <i r="1">
      <x v="1"/>
    </i>
    <i>
      <x v="4"/>
    </i>
    <i r="1">
      <x v="8"/>
    </i>
    <i>
      <x v="7"/>
    </i>
    <i r="1">
      <x v="5"/>
    </i>
    <i>
      <x v="11"/>
    </i>
    <i r="1">
      <x v="4"/>
    </i>
    <i>
      <x v="10"/>
    </i>
    <i>
      <x v="9"/>
    </i>
    <i>
      <x v="1"/>
    </i>
    <i t="grand">
      <x/>
    </i>
  </rowItems>
  <colItems count="1">
    <i/>
  </colItems>
  <dataFields count="1">
    <dataField name="Average of Clicks" fld="9" subtotal="average" baseField="4" baseItem="0"/>
  </dataFields>
  <formats count="14">
    <format dxfId="31">
      <pivotArea collapsedLevelsAreSubtotals="1" fieldPosition="0">
        <references count="1">
          <reference field="4" count="1">
            <x v="1"/>
          </reference>
        </references>
      </pivotArea>
    </format>
    <format dxfId="30">
      <pivotArea collapsedLevelsAreSubtotals="1" fieldPosition="0">
        <references count="1">
          <reference field="4" count="1">
            <x v="4"/>
          </reference>
        </references>
      </pivotArea>
    </format>
    <format dxfId="29">
      <pivotArea collapsedLevelsAreSubtotals="1" fieldPosition="0">
        <references count="1">
          <reference field="4" count="1">
            <x v="6"/>
          </reference>
        </references>
      </pivotArea>
    </format>
    <format dxfId="28">
      <pivotArea collapsedLevelsAreSubtotals="1" fieldPosition="0">
        <references count="1">
          <reference field="4" count="1">
            <x v="8"/>
          </reference>
        </references>
      </pivotArea>
    </format>
    <format dxfId="27">
      <pivotArea collapsedLevelsAreSubtotals="1" fieldPosition="0">
        <references count="1">
          <reference field="4" count="1">
            <x v="9"/>
          </reference>
        </references>
      </pivotArea>
    </format>
    <format dxfId="26">
      <pivotArea collapsedLevelsAreSubtotals="1" fieldPosition="0">
        <references count="1">
          <reference field="4" count="1">
            <x v="10"/>
          </reference>
        </references>
      </pivotArea>
    </format>
    <format dxfId="25">
      <pivotArea collapsedLevelsAreSubtotals="1" fieldPosition="0">
        <references count="2">
          <reference field="4" count="1" selected="0">
            <x v="6"/>
          </reference>
          <reference field="5" count="1">
            <x v="9"/>
          </reference>
        </references>
      </pivotArea>
    </format>
    <format dxfId="24">
      <pivotArea collapsedLevelsAreSubtotals="1" fieldPosition="0">
        <references count="2">
          <reference field="4" count="1" selected="0">
            <x v="8"/>
          </reference>
          <reference field="5" count="1">
            <x v="6"/>
          </reference>
        </references>
      </pivotArea>
    </format>
    <format dxfId="23">
      <pivotArea collapsedLevelsAreSubtotals="1" fieldPosition="0">
        <references count="2">
          <reference field="4" count="1" selected="0">
            <x v="4"/>
          </reference>
          <reference field="5" count="1">
            <x v="8"/>
          </reference>
        </references>
      </pivotArea>
    </format>
    <format dxfId="22">
      <pivotArea collapsedLevelsAreSubtotals="1" fieldPosition="0">
        <references count="2">
          <reference field="4" count="1" selected="0">
            <x v="10"/>
          </reference>
          <reference field="5" count="1">
            <x v="3"/>
          </reference>
        </references>
      </pivotArea>
    </format>
    <format dxfId="21">
      <pivotArea collapsedLevelsAreSubtotals="1" fieldPosition="0">
        <references count="2">
          <reference field="4" count="1" selected="0">
            <x v="10"/>
          </reference>
          <reference field="5" count="1">
            <x v="2"/>
          </reference>
        </references>
      </pivotArea>
    </format>
    <format dxfId="20">
      <pivotArea collapsedLevelsAreSubtotals="1" fieldPosition="0">
        <references count="2">
          <reference field="4" count="1" selected="0">
            <x v="9"/>
          </reference>
          <reference field="5" count="1">
            <x v="7"/>
          </reference>
        </references>
      </pivotArea>
    </format>
    <format dxfId="19">
      <pivotArea collapsedLevelsAreSubtotals="1" fieldPosition="0">
        <references count="2">
          <reference field="4" count="1" selected="0">
            <x v="1"/>
          </reference>
          <reference field="5" count="1">
            <x v="10"/>
          </reference>
        </references>
      </pivotArea>
    </format>
    <format dxfId="1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03521-7DE6-4476-BBA2-A421C9E043F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8:U35" firstHeaderRow="1" firstDataRow="3" firstDataCol="1"/>
  <pivotFields count="14">
    <pivotField showAll="0"/>
    <pivotField axis="axisCol" showAll="0">
      <items count="6">
        <item x="3"/>
        <item x="0"/>
        <item x="2"/>
        <item x="1"/>
        <item h="1" x="4"/>
        <item t="default"/>
      </items>
    </pivotField>
    <pivotField showAll="0"/>
    <pivotField axis="axisRow"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6" baseField="0" baseItem="0"/>
    <dataField name="Sum of Shares" fld="7" baseField="0" baseItem="0"/>
    <dataField name="Sum of Comment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B0330-5CDF-4AFD-93D6-C31F7D2DE417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E2:F12" firstHeaderRow="1" firstDataRow="1" firstDataCol="1"/>
  <pivotFields count="14">
    <pivotField axis="axisRow" showAll="0" measureFilter="1" sortType="descending">
      <items count="302">
        <item x="96"/>
        <item x="156"/>
        <item x="94"/>
        <item x="194"/>
        <item x="244"/>
        <item x="157"/>
        <item x="78"/>
        <item x="34"/>
        <item x="10"/>
        <item x="114"/>
        <item x="76"/>
        <item x="109"/>
        <item x="196"/>
        <item x="287"/>
        <item x="220"/>
        <item x="199"/>
        <item x="248"/>
        <item x="160"/>
        <item x="211"/>
        <item x="198"/>
        <item x="184"/>
        <item x="158"/>
        <item x="35"/>
        <item x="252"/>
        <item x="246"/>
        <item x="2"/>
        <item x="153"/>
        <item x="5"/>
        <item x="193"/>
        <item x="58"/>
        <item x="49"/>
        <item x="3"/>
        <item x="123"/>
        <item x="50"/>
        <item x="4"/>
        <item x="262"/>
        <item x="105"/>
        <item x="72"/>
        <item x="238"/>
        <item x="269"/>
        <item x="101"/>
        <item x="19"/>
        <item x="173"/>
        <item x="99"/>
        <item x="56"/>
        <item x="279"/>
        <item x="16"/>
        <item x="281"/>
        <item x="272"/>
        <item x="119"/>
        <item x="107"/>
        <item x="265"/>
        <item x="131"/>
        <item x="90"/>
        <item x="55"/>
        <item x="227"/>
        <item x="235"/>
        <item x="22"/>
        <item x="15"/>
        <item x="53"/>
        <item x="136"/>
        <item x="225"/>
        <item x="80"/>
        <item x="230"/>
        <item x="108"/>
        <item x="63"/>
        <item x="124"/>
        <item x="263"/>
        <item x="62"/>
        <item x="121"/>
        <item x="217"/>
        <item x="46"/>
        <item x="14"/>
        <item x="155"/>
        <item x="152"/>
        <item x="299"/>
        <item x="88"/>
        <item x="232"/>
        <item x="203"/>
        <item x="36"/>
        <item x="260"/>
        <item x="188"/>
        <item x="291"/>
        <item x="11"/>
        <item x="186"/>
        <item x="185"/>
        <item x="209"/>
        <item x="285"/>
        <item x="168"/>
        <item x="206"/>
        <item x="143"/>
        <item x="286"/>
        <item x="277"/>
        <item x="138"/>
        <item x="85"/>
        <item x="9"/>
        <item x="31"/>
        <item x="38"/>
        <item x="297"/>
        <item x="70"/>
        <item x="129"/>
        <item x="39"/>
        <item x="189"/>
        <item x="210"/>
        <item x="292"/>
        <item x="100"/>
        <item x="125"/>
        <item x="18"/>
        <item x="249"/>
        <item x="146"/>
        <item x="140"/>
        <item x="169"/>
        <item x="243"/>
        <item x="257"/>
        <item x="1"/>
        <item x="64"/>
        <item x="84"/>
        <item x="116"/>
        <item x="102"/>
        <item x="275"/>
        <item x="273"/>
        <item x="161"/>
        <item x="205"/>
        <item x="24"/>
        <item x="226"/>
        <item x="200"/>
        <item x="187"/>
        <item x="180"/>
        <item x="144"/>
        <item x="183"/>
        <item x="27"/>
        <item x="110"/>
        <item x="224"/>
        <item x="259"/>
        <item x="256"/>
        <item x="23"/>
        <item x="66"/>
        <item x="222"/>
        <item x="13"/>
        <item x="82"/>
        <item x="128"/>
        <item x="7"/>
        <item x="190"/>
        <item x="112"/>
        <item x="207"/>
        <item x="57"/>
        <item x="54"/>
        <item x="8"/>
        <item x="81"/>
        <item x="201"/>
        <item x="113"/>
        <item x="133"/>
        <item x="294"/>
        <item x="151"/>
        <item x="165"/>
        <item x="202"/>
        <item x="103"/>
        <item x="148"/>
        <item x="219"/>
        <item x="79"/>
        <item x="149"/>
        <item x="25"/>
        <item x="293"/>
        <item x="43"/>
        <item x="290"/>
        <item x="77"/>
        <item x="154"/>
        <item x="179"/>
        <item x="117"/>
        <item x="40"/>
        <item x="204"/>
        <item x="159"/>
        <item x="12"/>
        <item x="181"/>
        <item x="276"/>
        <item x="212"/>
        <item x="135"/>
        <item x="178"/>
        <item x="164"/>
        <item x="44"/>
        <item x="258"/>
        <item x="141"/>
        <item x="162"/>
        <item x="75"/>
        <item x="92"/>
        <item x="167"/>
        <item x="191"/>
        <item x="142"/>
        <item x="253"/>
        <item x="122"/>
        <item x="231"/>
        <item x="104"/>
        <item x="145"/>
        <item x="289"/>
        <item x="274"/>
        <item x="280"/>
        <item x="61"/>
        <item x="197"/>
        <item x="195"/>
        <item x="218"/>
        <item x="239"/>
        <item x="284"/>
        <item x="283"/>
        <item x="134"/>
        <item x="266"/>
        <item x="132"/>
        <item x="67"/>
        <item x="33"/>
        <item x="6"/>
        <item x="236"/>
        <item x="30"/>
        <item x="174"/>
        <item x="150"/>
        <item x="213"/>
        <item x="288"/>
        <item x="247"/>
        <item x="95"/>
        <item x="228"/>
        <item x="147"/>
        <item x="172"/>
        <item x="267"/>
        <item x="214"/>
        <item x="130"/>
        <item x="251"/>
        <item x="47"/>
        <item x="255"/>
        <item x="237"/>
        <item x="137"/>
        <item x="175"/>
        <item x="163"/>
        <item x="106"/>
        <item x="216"/>
        <item x="270"/>
        <item x="87"/>
        <item x="298"/>
        <item x="73"/>
        <item x="295"/>
        <item x="42"/>
        <item x="282"/>
        <item x="60"/>
        <item x="215"/>
        <item x="37"/>
        <item x="52"/>
        <item x="234"/>
        <item x="242"/>
        <item x="20"/>
        <item x="71"/>
        <item x="28"/>
        <item x="139"/>
        <item x="98"/>
        <item x="223"/>
        <item x="177"/>
        <item x="166"/>
        <item x="171"/>
        <item x="264"/>
        <item x="192"/>
        <item x="29"/>
        <item x="89"/>
        <item x="32"/>
        <item x="68"/>
        <item x="115"/>
        <item x="176"/>
        <item x="261"/>
        <item x="111"/>
        <item x="83"/>
        <item x="48"/>
        <item x="245"/>
        <item x="93"/>
        <item x="271"/>
        <item x="126"/>
        <item x="91"/>
        <item x="65"/>
        <item x="41"/>
        <item x="69"/>
        <item x="26"/>
        <item x="74"/>
        <item x="296"/>
        <item x="278"/>
        <item x="182"/>
        <item x="21"/>
        <item x="233"/>
        <item x="0"/>
        <item x="17"/>
        <item x="97"/>
        <item x="229"/>
        <item x="170"/>
        <item x="241"/>
        <item x="86"/>
        <item x="208"/>
        <item x="254"/>
        <item x="268"/>
        <item x="59"/>
        <item x="127"/>
        <item x="45"/>
        <item x="250"/>
        <item x="118"/>
        <item x="240"/>
        <item x="51"/>
        <item x="120"/>
        <item x="221"/>
        <item x="3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0">
    <i>
      <x v="281"/>
    </i>
    <i>
      <x v="114"/>
    </i>
    <i>
      <x v="25"/>
    </i>
    <i>
      <x v="31"/>
    </i>
    <i>
      <x v="34"/>
    </i>
    <i>
      <x v="27"/>
    </i>
    <i>
      <x v="208"/>
    </i>
    <i>
      <x v="141"/>
    </i>
    <i>
      <x v="147"/>
    </i>
    <i>
      <x v="95"/>
    </i>
  </rowItems>
  <colItems count="1">
    <i/>
  </colItems>
  <dataFields count="1">
    <dataField name="Sum of Engament_Rate" fld="13" baseField="0" baseItem="281" numFmtId="10"/>
  </dataFields>
  <formats count="3">
    <format dxfId="34">
      <pivotArea collapsedLevelsAreSubtotals="1" fieldPosition="0">
        <references count="1">
          <reference field="0" count="10">
            <x v="25"/>
            <x v="27"/>
            <x v="31"/>
            <x v="34"/>
            <x v="95"/>
            <x v="114"/>
            <x v="141"/>
            <x v="147"/>
            <x v="208"/>
            <x v="281"/>
          </reference>
        </references>
      </pivotArea>
    </format>
    <format dxfId="33">
      <pivotArea outline="0" fieldPosition="0">
        <references count="1">
          <reference field="4294967294" count="1">
            <x v="0"/>
          </reference>
        </references>
      </pivotArea>
    </format>
    <format dxfId="32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7513B-25ED-4303-A839-271CC70A766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" firstHeaderRow="1" firstDataRow="1" firstDataCol="1"/>
  <pivotFields count="14">
    <pivotField showAll="0"/>
    <pivotField axis="axisRow" showAll="0" sortType="descending">
      <items count="6">
        <item x="3"/>
        <item x="0"/>
        <item x="2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Average of Engament_Rate" fld="13" subtotal="average" baseField="1" baseItem="2" numFmtId="10"/>
  </dataFields>
  <formats count="2">
    <format dxfId="36">
      <pivotArea outline="0" collapsedLevelsAreSubtotals="1" fieldPosition="0"/>
    </format>
    <format dxfId="3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3D7AF-869D-43FD-87D6-34E25177029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G2:L54" firstHeaderRow="1" firstDataRow="2" firstDataCol="1"/>
  <pivotFields count="7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 sortType="descending">
      <items count="6">
        <item x="0"/>
        <item x="3"/>
        <item x="1"/>
        <item x="2"/>
        <item h="1"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 v="2"/>
    </i>
    <i>
      <x v="1"/>
    </i>
    <i>
      <x/>
    </i>
    <i>
      <x v="3"/>
    </i>
    <i t="grand">
      <x/>
    </i>
  </colItems>
  <dataFields count="1">
    <dataField name="Sum of New_Followers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6C949-A411-45E1-977A-08A0E7F9882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" firstHeaderRow="1" firstDataRow="1" firstDataCol="1"/>
  <pivotFields count="7">
    <pivotField showAll="0"/>
    <pivotField axis="axisRow" showAll="0" sortType="descending">
      <items count="6">
        <item x="0"/>
        <item x="3"/>
        <item x="1"/>
        <item x="2"/>
        <item h="1"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Engagement_Rate" fld="5" subtotal="average" baseField="1" baseItem="3"/>
  </dataFields>
  <formats count="2">
    <format dxfId="15">
      <pivotArea collapsedLevelsAreSubtotals="1" fieldPosition="0">
        <references count="1">
          <reference field="1" count="0"/>
        </references>
      </pivotArea>
    </format>
    <format dxfId="1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28D04-9E15-4063-A763-A814505939B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25" firstHeaderRow="0" firstDataRow="1" firstDataCol="1"/>
  <pivotFields count="7">
    <pivotField showAll="0"/>
    <pivotField axis="axisRow" showAll="0" sortType="descending">
      <items count="6">
        <item x="0"/>
        <item x="3"/>
        <item x="1"/>
        <item x="2"/>
        <item h="1"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1"/>
    <dataField name="Sum of Ad_Spend" fld="6" baseField="0" baseItem="0"/>
  </dataFields>
  <formats count="2">
    <format dxfId="17">
      <pivotArea collapsedLevelsAreSubtotals="1" fieldPosition="0">
        <references count="2">
          <reference field="4294967294" count="1" selected="0">
            <x v="0"/>
          </reference>
          <reference field="1" count="4">
            <x v="0"/>
            <x v="1"/>
            <x v="2"/>
            <x v="3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B21AE-E1E1-4F7F-B67E-090B12798C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P31" firstHeaderRow="1" firstDataRow="3" firstDataCol="1"/>
  <pivotFields count="14">
    <pivotField showAll="0"/>
    <pivotField axis="axisCol" multipleItemSelectionAllowed="1" showAll="0">
      <items count="6">
        <item x="3"/>
        <item x="0"/>
        <item x="2"/>
        <item x="1"/>
        <item x="4"/>
        <item t="default"/>
      </items>
    </pivotField>
    <pivotField showAll="0"/>
    <pivotField axis="axisRow" showAll="0" sortType="descending">
      <items count="6">
        <item x="3"/>
        <item x="2"/>
        <item h="1" x="1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3"/>
    </i>
    <i>
      <x v="1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6" baseField="0" baseItem="0"/>
    <dataField name="Sum of Shares" fld="7" baseField="0" baseItem="0"/>
    <dataField name="Sum of Comment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E7CEE-9DBA-4624-81B5-924C47BD0E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4" firstHeaderRow="1" firstDataRow="1" firstDataCol="1"/>
  <pivotFields count="14">
    <pivotField dataField="1" multipleItemSelectionAllowed="1" showAll="0"/>
    <pivotField showAll="0"/>
    <pivotField showAll="0"/>
    <pivotField showAll="0"/>
    <pivotField axis="axisRow" showAll="0" sortType="descending">
      <items count="13">
        <item h="1" x="11"/>
        <item x="10"/>
        <item x="1"/>
        <item x="7"/>
        <item x="5"/>
        <item x="8"/>
        <item x="9"/>
        <item x="2"/>
        <item x="4"/>
        <item x="0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 v="10"/>
    </i>
    <i>
      <x v="8"/>
    </i>
    <i>
      <x v="9"/>
    </i>
    <i>
      <x v="6"/>
    </i>
    <i>
      <x v="4"/>
    </i>
    <i>
      <x v="11"/>
    </i>
    <i>
      <x v="7"/>
    </i>
    <i>
      <x v="5"/>
    </i>
    <i>
      <x v="3"/>
    </i>
    <i>
      <x v="2"/>
    </i>
    <i>
      <x v="1"/>
    </i>
    <i t="grand">
      <x/>
    </i>
  </rowItems>
  <colItems count="1">
    <i/>
  </colItems>
  <dataFields count="1">
    <dataField name="Count of Pos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277FB-025F-4F65-8938-4950EB3B844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H14" firstHeaderRow="0" firstDataRow="1" firstDataCol="1"/>
  <pivotFields count="14">
    <pivotField showAll="0"/>
    <pivotField showAll="0"/>
    <pivotField showAll="0"/>
    <pivotField showAll="0"/>
    <pivotField axis="axisRow" showAll="0" sortType="descending">
      <items count="13">
        <item x="6"/>
        <item x="3"/>
        <item x="0"/>
        <item x="4"/>
        <item x="2"/>
        <item x="9"/>
        <item x="8"/>
        <item x="5"/>
        <item x="7"/>
        <item x="1"/>
        <item x="1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2">
    <i>
      <x v="5"/>
    </i>
    <i>
      <x v="9"/>
    </i>
    <i>
      <x v="3"/>
    </i>
    <i>
      <x v="6"/>
    </i>
    <i>
      <x v="1"/>
    </i>
    <i>
      <x v="2"/>
    </i>
    <i>
      <x/>
    </i>
    <i>
      <x v="4"/>
    </i>
    <i>
      <x v="7"/>
    </i>
    <i>
      <x v="8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ikes" fld="6" subtotal="average" baseField="4" baseItem="0"/>
    <dataField name="Average of Clicks" fld="9" subtotal="average" baseField="4" baseItem="0"/>
  </dataFields>
  <formats count="10">
    <format dxfId="13">
      <pivotArea collapsedLevelsAreSubtotals="1" fieldPosition="0">
        <references count="1">
          <reference field="4" count="1">
            <x v="7"/>
          </reference>
        </references>
      </pivotArea>
    </format>
    <format dxfId="12">
      <pivotArea collapsedLevelsAreSubtotals="1" fieldPosition="0">
        <references count="1">
          <reference field="4" count="1">
            <x v="10"/>
          </reference>
        </references>
      </pivotArea>
    </format>
    <format dxfId="11">
      <pivotArea collapsedLevelsAreSubtotals="1" fieldPosition="0">
        <references count="1">
          <reference field="4" count="1">
            <x v="5"/>
          </reference>
        </references>
      </pivotArea>
    </format>
    <format dxfId="10">
      <pivotArea collapsedLevelsAreSubtotals="1" fieldPosition="0">
        <references count="1">
          <reference field="4" count="1">
            <x v="3"/>
          </reference>
        </references>
      </pivotArea>
    </format>
    <format dxfId="9">
      <pivotArea collapsedLevelsAreSubtotals="1" fieldPosition="0">
        <references count="1">
          <reference field="4" count="1">
            <x v="1"/>
          </reference>
        </references>
      </pivotArea>
    </format>
    <format dxfId="8">
      <pivotArea collapsedLevelsAreSubtotals="1" fieldPosition="0">
        <references count="1">
          <reference field="4" count="1">
            <x v="2"/>
          </reference>
        </references>
      </pivotArea>
    </format>
    <format dxfId="7">
      <pivotArea collapsedLevelsAreSubtotals="1" fieldPosition="0">
        <references count="1">
          <reference field="4" count="2">
            <x v="8"/>
            <x v="9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4" count="1">
            <x v="0"/>
          </reference>
        </references>
      </pivotArea>
    </format>
    <format dxfId="5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79641-1016-4426-8840-FB5CBCC309B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0"/>
        <item x="1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2"/>
  </rowFields>
  <rowItems count="6"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Average of Engament_Rate" fld="13" subtotal="average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A4F1D-A5A1-494D-BADA-F4B38E26688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G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 sortType="descending">
      <items count="7">
        <item x="4"/>
        <item x="0"/>
        <item x="1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6">
    <i>
      <x/>
    </i>
    <i>
      <x v="1"/>
    </i>
    <i>
      <x v="2"/>
    </i>
    <i>
      <x v="4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Likes" fld="6" baseField="0" baseItem="0"/>
    <dataField name="Sum of Clicks" fld="9" baseField="0" baseItem="0"/>
    <dataField name="Sum of Impressions" fld="11" baseField="0" baseItem="0"/>
    <dataField name="Average of Likes" fld="6" subtotal="average" baseField="12" baseItem="0"/>
    <dataField name="Average of Clicks" fld="9" subtotal="average" baseField="12" baseItem="0"/>
    <dataField name="Average of Impressions" fld="11" subtotal="average" baseField="12" baseItem="0"/>
  </dataFields>
  <formats count="2">
    <format dxfId="3">
      <pivotArea collapsedLevelsAreSubtotals="1" fieldPosition="0">
        <references count="1">
          <reference field="12" count="0"/>
        </references>
      </pivotArea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C9120-46FF-4344-A592-F33CE20E2DB1}" name="PivotTable1" cacheId="1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chartFormat="6">
  <location ref="A2:E53" firstHeaderRow="1" firstDataRow="2" firstDataCol="1"/>
  <pivotFields count="7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6">
        <item x="0"/>
        <item x="3"/>
        <item x="1"/>
        <item x="2"/>
        <item h="1" m="1"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New_Followers" fld="2" baseField="0" baseItem="0"/>
  </dataFields>
  <formats count="1">
    <format dxfId="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</format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0C75F-3689-4098-8D5A-609476868B16}" name="PivotTable2" cacheId="1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chartFormat="10">
  <location ref="Q3:U54" firstHeaderRow="1" firstDataRow="2" firstDataCol="1"/>
  <pivotFields count="7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6">
        <item x="0"/>
        <item x="3"/>
        <item x="1"/>
        <item x="2"/>
        <item h="1" m="1"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New_Followers" fld="2" baseField="0" baseItem="0"/>
  </dataFields>
  <formats count="1">
    <format dxfId="1">
      <pivotArea dataOnly="0" labelOnly="1" fieldPosition="0">
        <references count="1">
          <reference field="0" count="0"/>
        </references>
      </pivotArea>
    </format>
  </formats>
  <chartFormats count="59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8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8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8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8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8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8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8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8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8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8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8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8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8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8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8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DC3A831-5445-4B72-90CE-920849F23817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644B8D8-039F-4C9D-B243-D1FC6AADBC50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5F81205-A8C4-4130-951E-FB99F785DCA5}" autoFormatId="16" applyNumberFormats="0" applyBorderFormats="0" applyFontFormats="0" applyPatternFormats="0" applyAlignmentFormats="0" applyWidthHeightFormats="0">
  <queryTableRefresh nextId="19" unboundColumnsRight="1">
    <queryTableFields count="14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13" name="Hashtags.2" tableColumnId="13"/>
      <queryTableField id="14" name="Hashtags.3" tableColumnId="14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7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AB9794-9D61-42F5-A7EA-67F484E3C30A}" name="Engagement_Summary" displayName="Engagement_Summary" ref="A1:G201" tableType="queryTable" totalsRowShown="0" headerRowDxfId="57">
  <autoFilter ref="A1:G201" xr:uid="{75AB9794-9D61-42F5-A7EA-67F484E3C30A}"/>
  <tableColumns count="7">
    <tableColumn id="1" xr3:uid="{9629A405-ACE2-4CB2-8088-9C91C9357A80}" uniqueName="1" name="Week_Start_Date" queryTableFieldId="1" dataDxfId="56"/>
    <tableColumn id="2" xr3:uid="{103AA538-3D7A-4758-AACD-C8FBBCF3D029}" uniqueName="2" name="Platform" queryTableFieldId="2" dataDxfId="55"/>
    <tableColumn id="3" xr3:uid="{825B2E44-83F6-4ECF-9CC7-B2EF8C6B5A1C}" uniqueName="3" name="New_Followers" queryTableFieldId="3"/>
    <tableColumn id="4" xr3:uid="{253888B1-CE86-4670-9A9D-CCBC9E004022}" uniqueName="4" name="Unfollows" queryTableFieldId="4"/>
    <tableColumn id="5" xr3:uid="{94E02F77-5C77-426A-A368-25633C20D30B}" uniqueName="5" name="Total_Followers" queryTableFieldId="5"/>
    <tableColumn id="6" xr3:uid="{B481AFBF-5348-4A40-8285-3D788E517912}" uniqueName="6" name="Engagement_Rate" queryTableFieldId="6"/>
    <tableColumn id="7" xr3:uid="{434A6763-F20D-40F6-ABC0-6AEA99DF1335}" uniqueName="7" name="Ad_Spend" queryTableField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85EFBC-B255-47DD-9E2D-93584367AF78}" name="Campaign_Metadata" displayName="Campaign_Metadata" ref="A1:G1000" tableType="queryTable" totalsRowShown="0">
  <autoFilter ref="A1:G1000" xr:uid="{7585EFBC-B255-47DD-9E2D-93584367AF78}"/>
  <tableColumns count="7">
    <tableColumn id="1" xr3:uid="{464C21E4-4E7C-4E1E-A1F5-6440B83282A2}" uniqueName="1" name="Campaign_Name" queryTableFieldId="1"/>
    <tableColumn id="2" xr3:uid="{97821D46-AF8C-48B6-9886-E5B091C0308C}" uniqueName="2" name="Start_Date" queryTableFieldId="2" dataDxfId="54"/>
    <tableColumn id="3" xr3:uid="{43BEDECA-4DBF-40A7-A081-C765558512BD}" uniqueName="3" name="End_Date" queryTableFieldId="3" dataDxfId="53"/>
    <tableColumn id="4" xr3:uid="{E0BB222B-1E07-4263-96AF-E3F5F95BCF79}" uniqueName="4" name="Objective" queryTableFieldId="4"/>
    <tableColumn id="5" xr3:uid="{501010E2-4797-4A81-B7EA-A086C88B1636}" uniqueName="5" name="Ad_Spend" queryTableFieldId="5" dataDxfId="52"/>
    <tableColumn id="6" xr3:uid="{CC69854E-3DC9-4D0C-A73E-A8AF0EE80E91}" uniqueName="6" name="Impressions" queryTableFieldId="6" dataDxfId="51"/>
    <tableColumn id="7" xr3:uid="{8366587B-AF40-4B12-BC05-449CD5BB4301}" uniqueName="7" name="Engagement_Uplift" queryTableField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C2C1E-F545-46B7-9A78-8743437796D3}" name="Posts" displayName="Posts" ref="A1:N301" tableType="queryTable" totalsRowShown="0">
  <autoFilter ref="A1:N301" xr:uid="{6C9C2C1E-F545-46B7-9A78-8743437796D3}"/>
  <sortState xmlns:xlrd2="http://schemas.microsoft.com/office/spreadsheetml/2017/richdata2" ref="A2:N301">
    <sortCondition descending="1" ref="N1:N301"/>
  </sortState>
  <tableColumns count="14">
    <tableColumn id="1" xr3:uid="{8113A088-29DF-4C76-8608-344313437381}" uniqueName="1" name="PostID" queryTableFieldId="1" dataDxfId="50"/>
    <tableColumn id="2" xr3:uid="{490437D7-CB3A-462F-AA3B-C46513F834C1}" uniqueName="2" name="Platform" queryTableFieldId="2" dataDxfId="49"/>
    <tableColumn id="3" xr3:uid="{EA2558A7-80DB-463A-8777-DC50F38BFB9A}" uniqueName="3" name="Date" queryTableFieldId="3" dataDxfId="48"/>
    <tableColumn id="4" xr3:uid="{B3BF4B54-7679-4F45-9591-598CC63E56AB}" uniqueName="4" name="ContentType" queryTableFieldId="4" dataDxfId="47"/>
    <tableColumn id="13" xr3:uid="{27ADC522-55F3-4081-9A1C-23056D3F9A5F}" uniqueName="13" name="Hashtags.2" queryTableFieldId="13" dataDxfId="46"/>
    <tableColumn id="14" xr3:uid="{257076D8-0A2A-4051-8155-F38E564C9B0B}" uniqueName="14" name="Hashtags.3" queryTableFieldId="14" dataDxfId="45"/>
    <tableColumn id="6" xr3:uid="{155D3BE1-DA1F-4D88-8A3E-C4FBB6AEDD8A}" uniqueName="6" name="Likes" queryTableFieldId="6" dataDxfId="44"/>
    <tableColumn id="7" xr3:uid="{238590A4-C226-4E01-B5C0-6D35720153D8}" uniqueName="7" name="Shares" queryTableFieldId="7" dataDxfId="43"/>
    <tableColumn id="8" xr3:uid="{DF837F9A-F9A4-4B74-8807-E89D7FF3EE01}" uniqueName="8" name="Comments" queryTableFieldId="8" dataDxfId="42"/>
    <tableColumn id="9" xr3:uid="{9B4945AB-B191-4415-A53C-7096A3970A05}" uniqueName="9" name="Clicks" queryTableFieldId="9" dataDxfId="41"/>
    <tableColumn id="10" xr3:uid="{71AF9F72-905E-427E-8EC3-0AFF395935C9}" uniqueName="10" name="Reach" queryTableFieldId="10" dataDxfId="40"/>
    <tableColumn id="11" xr3:uid="{DA22EFF4-BE17-44F7-8EDD-4EE63BEA4045}" uniqueName="11" name="Impressions" queryTableFieldId="11" dataDxfId="39"/>
    <tableColumn id="12" xr3:uid="{A34D3A19-1525-403F-A2DE-09D732561231}" uniqueName="12" name="Campaign" queryTableFieldId="12" dataDxfId="38"/>
    <tableColumn id="5" xr3:uid="{3C0B815F-4989-4CF1-B320-7887E0389997}" uniqueName="5" name="Engament_Rate" queryTableFieldId="17" dataDxfId="37">
      <calculatedColumnFormula>SUM(Posts[[#This Row],[Likes]],Posts[[#This Row],[Shares]],Posts[[#This Row],[Comments]])/Posts[[#This Row],[Impressions]]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imWxCA5opJmHyfS2aPwQ42asQhyjZrj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87A6-D2AA-4515-9194-F27183F02800}">
  <dimension ref="A1:L301"/>
  <sheetViews>
    <sheetView workbookViewId="0">
      <selection activeCell="D6" sqref="D6"/>
    </sheetView>
  </sheetViews>
  <sheetFormatPr defaultRowHeight="15" x14ac:dyDescent="0.25"/>
  <cols>
    <col min="3" max="3" width="10.42578125" bestFit="1" customWidth="1"/>
    <col min="4" max="4" width="12.42578125" bestFit="1" customWidth="1"/>
    <col min="5" max="5" width="34.7109375" bestFit="1" customWidth="1"/>
    <col min="6" max="6" width="13" customWidth="1"/>
    <col min="10" max="10" width="16.42578125" customWidth="1"/>
    <col min="11" max="11" width="25.140625" customWidth="1"/>
    <col min="12" max="12" width="19.5703125" customWidth="1"/>
  </cols>
  <sheetData>
    <row r="1" spans="1:12" ht="15.75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395</v>
      </c>
      <c r="F1" s="24" t="s">
        <v>4</v>
      </c>
      <c r="G1" s="24" t="s">
        <v>5</v>
      </c>
      <c r="H1" s="24" t="s">
        <v>6</v>
      </c>
      <c r="I1" s="24" t="s">
        <v>7</v>
      </c>
      <c r="J1" s="25" t="s">
        <v>8</v>
      </c>
      <c r="K1" s="24" t="s">
        <v>9</v>
      </c>
      <c r="L1" s="24" t="s">
        <v>10</v>
      </c>
    </row>
    <row r="2" spans="1:12" ht="15.75" thickBot="1" x14ac:dyDescent="0.3">
      <c r="A2" s="18" t="s">
        <v>11</v>
      </c>
      <c r="B2" s="18" t="s">
        <v>12</v>
      </c>
      <c r="C2" s="26" t="s">
        <v>396</v>
      </c>
      <c r="D2" s="18" t="s">
        <v>13</v>
      </c>
      <c r="E2" s="18" t="s">
        <v>397</v>
      </c>
      <c r="F2" s="18">
        <v>24516</v>
      </c>
      <c r="G2" s="18">
        <v>976</v>
      </c>
      <c r="H2" s="18">
        <v>974</v>
      </c>
      <c r="I2" s="18">
        <v>2675</v>
      </c>
      <c r="J2" s="27">
        <v>23275</v>
      </c>
      <c r="K2" s="18">
        <v>202932</v>
      </c>
      <c r="L2" s="18" t="s">
        <v>14</v>
      </c>
    </row>
    <row r="3" spans="1:12" ht="15.75" thickBot="1" x14ac:dyDescent="0.3">
      <c r="A3" s="18" t="s">
        <v>15</v>
      </c>
      <c r="B3" s="18" t="s">
        <v>16</v>
      </c>
      <c r="C3" s="28">
        <v>45903</v>
      </c>
      <c r="D3" s="18" t="s">
        <v>13</v>
      </c>
      <c r="E3" s="18" t="s">
        <v>398</v>
      </c>
      <c r="F3" s="18">
        <v>4779</v>
      </c>
      <c r="G3" s="18">
        <v>1110</v>
      </c>
      <c r="H3" s="18">
        <v>436</v>
      </c>
      <c r="I3" s="18">
        <v>1574</v>
      </c>
      <c r="J3" s="27">
        <v>77167</v>
      </c>
      <c r="K3" s="18">
        <v>71585</v>
      </c>
      <c r="L3" s="18" t="s">
        <v>17</v>
      </c>
    </row>
    <row r="4" spans="1:12" ht="15.75" thickBot="1" x14ac:dyDescent="0.3">
      <c r="A4" s="18" t="s">
        <v>18</v>
      </c>
      <c r="B4" s="18" t="s">
        <v>19</v>
      </c>
      <c r="C4" s="26" t="s">
        <v>399</v>
      </c>
      <c r="D4" s="18" t="s">
        <v>20</v>
      </c>
      <c r="E4" s="18" t="s">
        <v>400</v>
      </c>
      <c r="F4" s="18">
        <v>19308</v>
      </c>
      <c r="G4" s="18">
        <v>1318</v>
      </c>
      <c r="H4" s="18">
        <v>795</v>
      </c>
      <c r="I4" s="18">
        <v>1499</v>
      </c>
      <c r="J4" s="27">
        <v>52307</v>
      </c>
      <c r="K4" s="18">
        <v>193087</v>
      </c>
      <c r="L4" s="18" t="s">
        <v>21</v>
      </c>
    </row>
    <row r="5" spans="1:12" ht="15.75" thickBot="1" x14ac:dyDescent="0.3">
      <c r="A5" s="18" t="s">
        <v>22</v>
      </c>
      <c r="B5" s="18" t="s">
        <v>12</v>
      </c>
      <c r="C5" s="26" t="s">
        <v>401</v>
      </c>
      <c r="D5" s="18" t="s">
        <v>23</v>
      </c>
      <c r="E5" s="18" t="s">
        <v>402</v>
      </c>
      <c r="F5" s="18">
        <v>3581</v>
      </c>
      <c r="G5" s="18">
        <v>517</v>
      </c>
      <c r="H5" s="18">
        <v>880</v>
      </c>
      <c r="I5" s="18">
        <v>1925</v>
      </c>
      <c r="J5" s="27">
        <v>18636</v>
      </c>
      <c r="K5" s="18">
        <v>248611</v>
      </c>
      <c r="L5" s="18" t="s">
        <v>24</v>
      </c>
    </row>
    <row r="6" spans="1:12" ht="15.75" thickBot="1" x14ac:dyDescent="0.3">
      <c r="A6" s="18" t="s">
        <v>25</v>
      </c>
      <c r="B6" s="18" t="s">
        <v>12</v>
      </c>
      <c r="C6" s="28">
        <v>45904</v>
      </c>
      <c r="D6" s="18" t="s">
        <v>23</v>
      </c>
      <c r="E6" s="18" t="s">
        <v>397</v>
      </c>
      <c r="F6" s="18">
        <v>21708</v>
      </c>
      <c r="G6" s="18">
        <v>435</v>
      </c>
      <c r="H6" s="18">
        <v>317</v>
      </c>
      <c r="I6" s="18">
        <v>1213</v>
      </c>
      <c r="J6" s="27">
        <v>70701</v>
      </c>
      <c r="K6" s="18">
        <v>83585</v>
      </c>
      <c r="L6" s="18" t="s">
        <v>17</v>
      </c>
    </row>
    <row r="7" spans="1:12" ht="15.75" thickBot="1" x14ac:dyDescent="0.3">
      <c r="A7" s="18" t="s">
        <v>26</v>
      </c>
      <c r="B7" s="18" t="s">
        <v>16</v>
      </c>
      <c r="C7" s="28">
        <v>45905</v>
      </c>
      <c r="D7" s="18" t="s">
        <v>13</v>
      </c>
      <c r="E7" s="18" t="s">
        <v>27</v>
      </c>
      <c r="F7" s="18">
        <v>14677</v>
      </c>
      <c r="G7" s="18">
        <v>533</v>
      </c>
      <c r="H7" s="18">
        <v>759</v>
      </c>
      <c r="I7" s="18">
        <v>753</v>
      </c>
      <c r="J7" s="27">
        <v>23275</v>
      </c>
      <c r="K7" s="18">
        <v>66958</v>
      </c>
      <c r="L7" s="18" t="s">
        <v>17</v>
      </c>
    </row>
    <row r="8" spans="1:12" ht="15.75" thickBot="1" x14ac:dyDescent="0.3">
      <c r="A8" s="18" t="s">
        <v>28</v>
      </c>
      <c r="B8" s="18" t="s">
        <v>19</v>
      </c>
      <c r="C8" s="26" t="s">
        <v>403</v>
      </c>
      <c r="D8" s="18" t="s">
        <v>29</v>
      </c>
      <c r="E8" s="18" t="s">
        <v>404</v>
      </c>
      <c r="F8" s="18">
        <v>7713</v>
      </c>
      <c r="G8" s="18">
        <v>575</v>
      </c>
      <c r="H8" s="18">
        <v>417</v>
      </c>
      <c r="I8" s="18">
        <v>336</v>
      </c>
      <c r="J8" s="27">
        <v>61660</v>
      </c>
      <c r="K8" s="18">
        <v>66017</v>
      </c>
      <c r="L8" s="18" t="s">
        <v>24</v>
      </c>
    </row>
    <row r="9" spans="1:12" ht="15.75" thickBot="1" x14ac:dyDescent="0.3">
      <c r="A9" s="18" t="s">
        <v>30</v>
      </c>
      <c r="B9" s="18" t="s">
        <v>19</v>
      </c>
      <c r="C9" s="26" t="s">
        <v>405</v>
      </c>
      <c r="D9" s="18" t="s">
        <v>23</v>
      </c>
      <c r="E9" s="18" t="s">
        <v>406</v>
      </c>
      <c r="F9" s="18">
        <v>18639</v>
      </c>
      <c r="G9" s="18">
        <v>1360</v>
      </c>
      <c r="H9" s="18">
        <v>898</v>
      </c>
      <c r="I9" s="18">
        <v>2011</v>
      </c>
      <c r="J9" s="27">
        <v>42841</v>
      </c>
      <c r="K9" s="18">
        <v>247779</v>
      </c>
      <c r="L9" s="18" t="s">
        <v>24</v>
      </c>
    </row>
    <row r="10" spans="1:12" ht="15.75" thickBot="1" x14ac:dyDescent="0.3">
      <c r="A10" s="18" t="s">
        <v>31</v>
      </c>
      <c r="B10" s="18" t="s">
        <v>12</v>
      </c>
      <c r="C10" s="26" t="s">
        <v>407</v>
      </c>
      <c r="D10" s="18" t="s">
        <v>29</v>
      </c>
      <c r="E10" s="18" t="s">
        <v>398</v>
      </c>
      <c r="F10" s="18">
        <v>6804</v>
      </c>
      <c r="G10" s="18">
        <v>787</v>
      </c>
      <c r="H10" s="18">
        <v>970</v>
      </c>
      <c r="I10" s="18">
        <v>1095</v>
      </c>
      <c r="J10" s="27">
        <v>56343</v>
      </c>
      <c r="K10" s="18">
        <v>164677</v>
      </c>
      <c r="L10" s="18" t="s">
        <v>14</v>
      </c>
    </row>
    <row r="11" spans="1:12" ht="15.75" thickBot="1" x14ac:dyDescent="0.3">
      <c r="A11" s="18" t="s">
        <v>32</v>
      </c>
      <c r="B11" s="18" t="s">
        <v>33</v>
      </c>
      <c r="C11" s="26" t="s">
        <v>408</v>
      </c>
      <c r="D11" s="18" t="s">
        <v>23</v>
      </c>
      <c r="E11" s="18" t="s">
        <v>409</v>
      </c>
      <c r="F11" s="18">
        <v>20222</v>
      </c>
      <c r="G11" s="18">
        <v>712</v>
      </c>
      <c r="H11" s="18">
        <v>604</v>
      </c>
      <c r="I11" s="18">
        <v>1272</v>
      </c>
      <c r="J11" s="27">
        <v>71598</v>
      </c>
      <c r="K11" s="18">
        <v>216422</v>
      </c>
      <c r="L11" s="18" t="s">
        <v>21</v>
      </c>
    </row>
    <row r="12" spans="1:12" ht="15.75" thickBot="1" x14ac:dyDescent="0.3">
      <c r="A12" s="18" t="s">
        <v>34</v>
      </c>
      <c r="B12" s="18" t="s">
        <v>12</v>
      </c>
      <c r="C12" s="26" t="s">
        <v>410</v>
      </c>
      <c r="D12" s="18" t="s">
        <v>29</v>
      </c>
      <c r="E12" s="18" t="s">
        <v>402</v>
      </c>
      <c r="F12" s="18">
        <v>12136</v>
      </c>
      <c r="G12" s="18">
        <v>1117</v>
      </c>
      <c r="H12" s="18">
        <v>834</v>
      </c>
      <c r="I12" s="18">
        <v>892</v>
      </c>
      <c r="J12" s="27">
        <v>24675</v>
      </c>
      <c r="K12" s="18">
        <v>183273</v>
      </c>
      <c r="L12" s="18" t="s">
        <v>21</v>
      </c>
    </row>
    <row r="13" spans="1:12" ht="15.75" thickBot="1" x14ac:dyDescent="0.3">
      <c r="A13" s="18" t="s">
        <v>35</v>
      </c>
      <c r="B13" s="18" t="s">
        <v>12</v>
      </c>
      <c r="C13" s="26" t="s">
        <v>411</v>
      </c>
      <c r="D13" s="18" t="s">
        <v>20</v>
      </c>
      <c r="E13" s="18" t="s">
        <v>398</v>
      </c>
      <c r="F13" s="18">
        <v>2009</v>
      </c>
      <c r="G13" s="18">
        <v>1072</v>
      </c>
      <c r="H13" s="18">
        <v>550</v>
      </c>
      <c r="I13" s="18">
        <v>1437</v>
      </c>
      <c r="J13" s="27">
        <v>22982</v>
      </c>
      <c r="K13" s="18">
        <v>69426</v>
      </c>
      <c r="L13" s="18" t="s">
        <v>24</v>
      </c>
    </row>
    <row r="14" spans="1:12" ht="15.75" thickBot="1" x14ac:dyDescent="0.3">
      <c r="A14" s="18" t="s">
        <v>36</v>
      </c>
      <c r="B14" s="18" t="s">
        <v>12</v>
      </c>
      <c r="C14" s="26" t="s">
        <v>412</v>
      </c>
      <c r="D14" s="18" t="s">
        <v>29</v>
      </c>
      <c r="E14" s="18" t="s">
        <v>404</v>
      </c>
      <c r="F14" s="18">
        <v>21255</v>
      </c>
      <c r="G14" s="18">
        <v>1452</v>
      </c>
      <c r="H14" s="18">
        <v>625</v>
      </c>
      <c r="I14" s="18">
        <v>1624</v>
      </c>
      <c r="J14" s="27">
        <v>21282</v>
      </c>
      <c r="K14" s="18">
        <v>57778</v>
      </c>
      <c r="L14" s="18" t="s">
        <v>37</v>
      </c>
    </row>
    <row r="15" spans="1:12" ht="15.75" thickBot="1" x14ac:dyDescent="0.3">
      <c r="A15" s="18" t="s">
        <v>38</v>
      </c>
      <c r="B15" s="18" t="s">
        <v>12</v>
      </c>
      <c r="C15" s="28">
        <v>45906</v>
      </c>
      <c r="D15" s="18" t="s">
        <v>20</v>
      </c>
      <c r="E15" s="18" t="s">
        <v>406</v>
      </c>
      <c r="F15" s="18">
        <v>7124</v>
      </c>
      <c r="G15" s="18">
        <v>469</v>
      </c>
      <c r="H15" s="18">
        <v>851</v>
      </c>
      <c r="I15" s="18">
        <v>2571</v>
      </c>
      <c r="J15" s="27">
        <v>33802</v>
      </c>
      <c r="K15" s="18">
        <v>216313</v>
      </c>
      <c r="L15" s="18" t="s">
        <v>17</v>
      </c>
    </row>
    <row r="16" spans="1:12" ht="15.75" thickBot="1" x14ac:dyDescent="0.3">
      <c r="A16" s="18" t="s">
        <v>39</v>
      </c>
      <c r="B16" s="18" t="s">
        <v>16</v>
      </c>
      <c r="C16" s="28">
        <v>45907</v>
      </c>
      <c r="D16" s="18" t="s">
        <v>20</v>
      </c>
      <c r="E16" s="18" t="s">
        <v>400</v>
      </c>
      <c r="F16" s="18">
        <v>3015</v>
      </c>
      <c r="G16" s="18">
        <v>997</v>
      </c>
      <c r="H16" s="18">
        <v>783</v>
      </c>
      <c r="I16" s="18">
        <v>617</v>
      </c>
      <c r="J16" s="27">
        <v>77167</v>
      </c>
      <c r="K16" s="18">
        <v>82229</v>
      </c>
      <c r="L16" s="18" t="s">
        <v>17</v>
      </c>
    </row>
    <row r="17" spans="1:12" ht="15.75" thickBot="1" x14ac:dyDescent="0.3">
      <c r="A17" s="18" t="s">
        <v>40</v>
      </c>
      <c r="B17" s="18" t="s">
        <v>19</v>
      </c>
      <c r="C17" s="26" t="s">
        <v>413</v>
      </c>
      <c r="D17" s="18" t="s">
        <v>29</v>
      </c>
      <c r="E17" s="18" t="s">
        <v>406</v>
      </c>
      <c r="F17" s="18">
        <v>4193</v>
      </c>
      <c r="G17" s="18">
        <v>924</v>
      </c>
      <c r="H17" s="18">
        <v>707</v>
      </c>
      <c r="I17" s="18">
        <v>2696</v>
      </c>
      <c r="J17" s="27">
        <v>55075</v>
      </c>
      <c r="K17" s="18">
        <v>126652</v>
      </c>
      <c r="L17" s="18" t="s">
        <v>24</v>
      </c>
    </row>
    <row r="18" spans="1:12" ht="15.75" thickBot="1" x14ac:dyDescent="0.3">
      <c r="A18" s="18" t="s">
        <v>41</v>
      </c>
      <c r="B18" s="18" t="s">
        <v>16</v>
      </c>
      <c r="C18" s="26" t="s">
        <v>414</v>
      </c>
      <c r="D18" s="18" t="s">
        <v>20</v>
      </c>
      <c r="E18" s="18" t="s">
        <v>415</v>
      </c>
      <c r="F18" s="18">
        <v>10415</v>
      </c>
      <c r="G18" s="18">
        <v>1388</v>
      </c>
      <c r="H18" s="18">
        <v>725</v>
      </c>
      <c r="I18" s="18">
        <v>2462</v>
      </c>
      <c r="J18" s="27">
        <v>53082</v>
      </c>
      <c r="K18" s="18">
        <v>168267</v>
      </c>
      <c r="L18" s="18" t="s">
        <v>37</v>
      </c>
    </row>
    <row r="19" spans="1:12" ht="15.75" thickBot="1" x14ac:dyDescent="0.3">
      <c r="A19" s="18" t="s">
        <v>42</v>
      </c>
      <c r="B19" s="18" t="s">
        <v>16</v>
      </c>
      <c r="C19" s="26" t="s">
        <v>416</v>
      </c>
      <c r="D19" s="18" t="s">
        <v>13</v>
      </c>
      <c r="E19" s="18" t="s">
        <v>406</v>
      </c>
      <c r="F19" s="18">
        <v>15550</v>
      </c>
      <c r="G19" s="18">
        <v>204</v>
      </c>
      <c r="H19" s="18">
        <v>279</v>
      </c>
      <c r="I19" s="18">
        <v>1646</v>
      </c>
      <c r="J19" s="27">
        <v>35819</v>
      </c>
      <c r="K19" s="18">
        <v>219436</v>
      </c>
      <c r="L19" s="18" t="s">
        <v>14</v>
      </c>
    </row>
    <row r="20" spans="1:12" ht="15.75" thickBot="1" x14ac:dyDescent="0.3">
      <c r="A20" s="18" t="s">
        <v>43</v>
      </c>
      <c r="B20" s="18" t="s">
        <v>16</v>
      </c>
      <c r="C20" s="26" t="s">
        <v>417</v>
      </c>
      <c r="D20" s="18" t="s">
        <v>20</v>
      </c>
      <c r="E20" s="18" t="s">
        <v>415</v>
      </c>
      <c r="F20" s="18">
        <v>16512</v>
      </c>
      <c r="G20" s="18">
        <v>1050</v>
      </c>
      <c r="H20" s="18">
        <v>971</v>
      </c>
      <c r="I20" s="18">
        <v>1891</v>
      </c>
      <c r="J20" s="27">
        <v>15865</v>
      </c>
      <c r="K20" s="18">
        <v>166503</v>
      </c>
      <c r="L20" s="18" t="s">
        <v>24</v>
      </c>
    </row>
    <row r="21" spans="1:12" ht="15.75" thickBot="1" x14ac:dyDescent="0.3">
      <c r="A21" s="18" t="s">
        <v>44</v>
      </c>
      <c r="B21" s="18" t="s">
        <v>12</v>
      </c>
      <c r="C21" s="26" t="s">
        <v>418</v>
      </c>
      <c r="D21" s="18" t="s">
        <v>23</v>
      </c>
      <c r="E21" s="18" t="s">
        <v>400</v>
      </c>
      <c r="F21" s="18">
        <v>6158</v>
      </c>
      <c r="G21" s="18">
        <v>277</v>
      </c>
      <c r="H21" s="18">
        <v>512</v>
      </c>
      <c r="I21" s="18">
        <v>2189</v>
      </c>
      <c r="J21" s="27">
        <v>76881</v>
      </c>
      <c r="K21" s="18">
        <v>124878</v>
      </c>
      <c r="L21" s="18" t="s">
        <v>24</v>
      </c>
    </row>
    <row r="22" spans="1:12" ht="15.75" thickBot="1" x14ac:dyDescent="0.3">
      <c r="A22" s="18" t="s">
        <v>45</v>
      </c>
      <c r="B22" s="18" t="s">
        <v>33</v>
      </c>
      <c r="C22" s="28">
        <v>45908</v>
      </c>
      <c r="D22" s="18" t="s">
        <v>29</v>
      </c>
      <c r="E22" s="18" t="s">
        <v>419</v>
      </c>
      <c r="F22" s="18">
        <v>22309</v>
      </c>
      <c r="G22" s="18">
        <v>773</v>
      </c>
      <c r="H22" s="18">
        <v>854</v>
      </c>
      <c r="I22" s="18">
        <v>2387</v>
      </c>
      <c r="J22" s="27">
        <v>72396</v>
      </c>
      <c r="K22" s="18">
        <v>97056</v>
      </c>
      <c r="L22" s="18" t="s">
        <v>17</v>
      </c>
    </row>
    <row r="23" spans="1:12" ht="15.75" thickBot="1" x14ac:dyDescent="0.3">
      <c r="A23" s="18" t="s">
        <v>46</v>
      </c>
      <c r="B23" s="18" t="s">
        <v>19</v>
      </c>
      <c r="C23" s="26" t="s">
        <v>420</v>
      </c>
      <c r="D23" s="18" t="s">
        <v>13</v>
      </c>
      <c r="E23" s="18" t="s">
        <v>404</v>
      </c>
      <c r="F23" s="18">
        <v>8970</v>
      </c>
      <c r="G23" s="18">
        <v>331</v>
      </c>
      <c r="H23" s="18">
        <v>968</v>
      </c>
      <c r="I23" s="18">
        <v>2296</v>
      </c>
      <c r="J23" s="27">
        <v>24613</v>
      </c>
      <c r="K23" s="18">
        <v>198562</v>
      </c>
      <c r="L23" s="18" t="s">
        <v>24</v>
      </c>
    </row>
    <row r="24" spans="1:12" ht="15.75" thickBot="1" x14ac:dyDescent="0.3">
      <c r="A24" s="18" t="s">
        <v>47</v>
      </c>
      <c r="B24" s="18" t="s">
        <v>33</v>
      </c>
      <c r="C24" s="26" t="s">
        <v>421</v>
      </c>
      <c r="D24" s="18" t="s">
        <v>29</v>
      </c>
      <c r="E24" s="18" t="s">
        <v>415</v>
      </c>
      <c r="F24" s="18">
        <v>8938</v>
      </c>
      <c r="G24" s="18">
        <v>800</v>
      </c>
      <c r="H24" s="18">
        <v>842</v>
      </c>
      <c r="I24" s="18">
        <v>2072</v>
      </c>
      <c r="J24" s="27">
        <v>31736</v>
      </c>
      <c r="K24" s="18">
        <v>59975</v>
      </c>
      <c r="L24" s="18" t="s">
        <v>24</v>
      </c>
    </row>
    <row r="25" spans="1:12" ht="15.75" thickBot="1" x14ac:dyDescent="0.3">
      <c r="A25" s="18" t="s">
        <v>48</v>
      </c>
      <c r="B25" s="18" t="s">
        <v>16</v>
      </c>
      <c r="C25" s="26" t="s">
        <v>422</v>
      </c>
      <c r="D25" s="18" t="s">
        <v>23</v>
      </c>
      <c r="E25" s="18" t="s">
        <v>409</v>
      </c>
      <c r="F25" s="18">
        <v>23168</v>
      </c>
      <c r="G25" s="18">
        <v>1265</v>
      </c>
      <c r="H25" s="18">
        <v>441</v>
      </c>
      <c r="I25" s="18">
        <v>1612</v>
      </c>
      <c r="J25" s="27">
        <v>66615</v>
      </c>
      <c r="K25" s="18">
        <v>197795</v>
      </c>
      <c r="L25" s="18" t="s">
        <v>24</v>
      </c>
    </row>
    <row r="26" spans="1:12" ht="15.75" thickBot="1" x14ac:dyDescent="0.3">
      <c r="A26" s="18" t="s">
        <v>49</v>
      </c>
      <c r="B26" s="18" t="s">
        <v>16</v>
      </c>
      <c r="C26" s="28">
        <v>45909</v>
      </c>
      <c r="D26" s="18" t="s">
        <v>23</v>
      </c>
      <c r="E26" s="18" t="s">
        <v>406</v>
      </c>
      <c r="F26" s="18">
        <v>15772</v>
      </c>
      <c r="G26" s="18">
        <v>288</v>
      </c>
      <c r="H26" s="18">
        <v>520</v>
      </c>
      <c r="I26" s="18">
        <v>1585</v>
      </c>
      <c r="J26" s="27">
        <v>59182</v>
      </c>
      <c r="K26" s="18">
        <v>194351</v>
      </c>
      <c r="L26" s="18" t="s">
        <v>17</v>
      </c>
    </row>
    <row r="27" spans="1:12" ht="15.75" thickBot="1" x14ac:dyDescent="0.3">
      <c r="A27" s="18" t="s">
        <v>50</v>
      </c>
      <c r="B27" s="18" t="s">
        <v>33</v>
      </c>
      <c r="C27" s="26" t="s">
        <v>423</v>
      </c>
      <c r="D27" s="18" t="s">
        <v>23</v>
      </c>
      <c r="E27" s="18" t="s">
        <v>406</v>
      </c>
      <c r="F27" s="18">
        <v>22384</v>
      </c>
      <c r="G27" s="18">
        <v>601</v>
      </c>
      <c r="H27" s="18">
        <v>943</v>
      </c>
      <c r="I27" s="18">
        <v>515</v>
      </c>
      <c r="J27" s="27">
        <v>41309</v>
      </c>
      <c r="K27" s="18">
        <v>249373</v>
      </c>
      <c r="L27" s="18" t="s">
        <v>14</v>
      </c>
    </row>
    <row r="28" spans="1:12" ht="15.75" thickBot="1" x14ac:dyDescent="0.3">
      <c r="A28" s="18" t="s">
        <v>51</v>
      </c>
      <c r="B28" s="18" t="s">
        <v>33</v>
      </c>
      <c r="C28" s="26" t="s">
        <v>424</v>
      </c>
      <c r="D28" s="18" t="s">
        <v>20</v>
      </c>
      <c r="E28" s="18" t="s">
        <v>409</v>
      </c>
      <c r="F28" s="18">
        <v>20017</v>
      </c>
      <c r="G28" s="18">
        <v>495</v>
      </c>
      <c r="H28" s="18">
        <v>178</v>
      </c>
      <c r="I28" s="18">
        <v>2683</v>
      </c>
      <c r="J28" s="27">
        <v>32244</v>
      </c>
      <c r="K28" s="18">
        <v>182633</v>
      </c>
      <c r="L28" s="18" t="s">
        <v>14</v>
      </c>
    </row>
    <row r="29" spans="1:12" ht="15.75" thickBot="1" x14ac:dyDescent="0.3">
      <c r="A29" s="18" t="s">
        <v>52</v>
      </c>
      <c r="B29" s="18" t="s">
        <v>33</v>
      </c>
      <c r="C29" s="26" t="s">
        <v>425</v>
      </c>
      <c r="D29" s="18" t="s">
        <v>20</v>
      </c>
      <c r="E29" s="18" t="s">
        <v>27</v>
      </c>
      <c r="F29" s="18">
        <v>12344</v>
      </c>
      <c r="G29" s="18">
        <v>815</v>
      </c>
      <c r="H29" s="18">
        <v>298</v>
      </c>
      <c r="I29" s="18">
        <v>2439</v>
      </c>
      <c r="J29" s="27">
        <v>6259</v>
      </c>
      <c r="K29" s="18">
        <v>237133</v>
      </c>
      <c r="L29" s="18" t="s">
        <v>24</v>
      </c>
    </row>
    <row r="30" spans="1:12" ht="15.75" thickBot="1" x14ac:dyDescent="0.3">
      <c r="A30" s="18" t="s">
        <v>53</v>
      </c>
      <c r="B30" s="18" t="s">
        <v>16</v>
      </c>
      <c r="C30" s="28">
        <v>45910</v>
      </c>
      <c r="D30" s="18" t="s">
        <v>29</v>
      </c>
      <c r="E30" s="18" t="s">
        <v>54</v>
      </c>
      <c r="F30" s="18">
        <v>9266</v>
      </c>
      <c r="G30" s="18">
        <v>999</v>
      </c>
      <c r="H30" s="18">
        <v>928</v>
      </c>
      <c r="I30" s="18">
        <v>2700</v>
      </c>
      <c r="J30" s="27">
        <v>12264</v>
      </c>
      <c r="K30" s="18">
        <v>128397</v>
      </c>
      <c r="L30" s="18" t="s">
        <v>17</v>
      </c>
    </row>
    <row r="31" spans="1:12" ht="15.75" thickBot="1" x14ac:dyDescent="0.3">
      <c r="A31" s="18" t="s">
        <v>55</v>
      </c>
      <c r="B31" s="18" t="s">
        <v>16</v>
      </c>
      <c r="C31" s="26" t="s">
        <v>426</v>
      </c>
      <c r="D31" s="18" t="s">
        <v>29</v>
      </c>
      <c r="E31" s="18" t="s">
        <v>419</v>
      </c>
      <c r="F31" s="18">
        <v>10702</v>
      </c>
      <c r="G31" s="18">
        <v>621</v>
      </c>
      <c r="H31" s="18">
        <v>445</v>
      </c>
      <c r="I31" s="18">
        <v>2918</v>
      </c>
      <c r="J31" s="27">
        <v>54808</v>
      </c>
      <c r="K31" s="18">
        <v>220225</v>
      </c>
      <c r="L31" s="18" t="s">
        <v>14</v>
      </c>
    </row>
    <row r="32" spans="1:12" ht="15.75" thickBot="1" x14ac:dyDescent="0.3">
      <c r="A32" s="18" t="s">
        <v>56</v>
      </c>
      <c r="B32" s="18" t="s">
        <v>19</v>
      </c>
      <c r="C32" s="26" t="s">
        <v>427</v>
      </c>
      <c r="D32" s="18" t="s">
        <v>13</v>
      </c>
      <c r="E32" s="18" t="s">
        <v>402</v>
      </c>
      <c r="F32" s="18">
        <v>2384</v>
      </c>
      <c r="G32" s="18">
        <v>1246</v>
      </c>
      <c r="H32" s="18">
        <v>160</v>
      </c>
      <c r="I32" s="18">
        <v>2004</v>
      </c>
      <c r="J32" s="27">
        <v>2701</v>
      </c>
      <c r="K32" s="18">
        <v>73142</v>
      </c>
      <c r="L32" s="18" t="s">
        <v>14</v>
      </c>
    </row>
    <row r="33" spans="1:12" ht="15.75" thickBot="1" x14ac:dyDescent="0.3">
      <c r="A33" s="18" t="s">
        <v>57</v>
      </c>
      <c r="B33" s="18" t="s">
        <v>19</v>
      </c>
      <c r="C33" s="26" t="s">
        <v>428</v>
      </c>
      <c r="D33" s="18" t="s">
        <v>13</v>
      </c>
      <c r="E33" s="18" t="s">
        <v>415</v>
      </c>
      <c r="F33" s="18">
        <v>2404</v>
      </c>
      <c r="G33" s="18">
        <v>774</v>
      </c>
      <c r="H33" s="18">
        <v>661</v>
      </c>
      <c r="I33" s="18">
        <v>662</v>
      </c>
      <c r="J33" s="27">
        <v>12676</v>
      </c>
      <c r="K33" s="18">
        <v>66916</v>
      </c>
      <c r="L33" s="18" t="s">
        <v>14</v>
      </c>
    </row>
    <row r="34" spans="1:12" ht="15.75" thickBot="1" x14ac:dyDescent="0.3">
      <c r="A34" s="18" t="s">
        <v>58</v>
      </c>
      <c r="B34" s="18" t="s">
        <v>16</v>
      </c>
      <c r="C34" s="28">
        <v>45911</v>
      </c>
      <c r="D34" s="18" t="s">
        <v>29</v>
      </c>
      <c r="E34" s="18" t="s">
        <v>409</v>
      </c>
      <c r="F34" s="18">
        <v>10175</v>
      </c>
      <c r="G34" s="18">
        <v>342</v>
      </c>
      <c r="H34" s="18">
        <v>825</v>
      </c>
      <c r="I34" s="18">
        <v>2904</v>
      </c>
      <c r="J34" s="27">
        <v>15954</v>
      </c>
      <c r="K34" s="18">
        <v>104324</v>
      </c>
      <c r="L34" s="18" t="s">
        <v>17</v>
      </c>
    </row>
    <row r="35" spans="1:12" ht="15.75" thickBot="1" x14ac:dyDescent="0.3">
      <c r="A35" s="18" t="s">
        <v>59</v>
      </c>
      <c r="B35" s="18" t="s">
        <v>33</v>
      </c>
      <c r="C35" s="28">
        <v>45912</v>
      </c>
      <c r="D35" s="18" t="s">
        <v>20</v>
      </c>
      <c r="E35" s="18" t="s">
        <v>400</v>
      </c>
      <c r="F35" s="18">
        <v>17158</v>
      </c>
      <c r="G35" s="18">
        <v>1192</v>
      </c>
      <c r="H35" s="18">
        <v>262</v>
      </c>
      <c r="I35" s="18">
        <v>2016</v>
      </c>
      <c r="J35" s="27">
        <v>28771</v>
      </c>
      <c r="K35" s="18">
        <v>216037</v>
      </c>
      <c r="L35" s="18" t="s">
        <v>17</v>
      </c>
    </row>
    <row r="36" spans="1:12" ht="15.75" thickBot="1" x14ac:dyDescent="0.3">
      <c r="A36" s="18" t="s">
        <v>60</v>
      </c>
      <c r="B36" s="18" t="s">
        <v>33</v>
      </c>
      <c r="C36" s="26" t="s">
        <v>429</v>
      </c>
      <c r="D36" s="18" t="s">
        <v>23</v>
      </c>
      <c r="E36" s="18" t="s">
        <v>415</v>
      </c>
      <c r="F36" s="18">
        <v>14763</v>
      </c>
      <c r="G36" s="18">
        <v>864</v>
      </c>
      <c r="H36" s="18">
        <v>336</v>
      </c>
      <c r="I36" s="18">
        <v>1493</v>
      </c>
      <c r="J36" s="27">
        <v>33310</v>
      </c>
      <c r="K36" s="18">
        <v>165932</v>
      </c>
      <c r="L36" s="18" t="s">
        <v>24</v>
      </c>
    </row>
    <row r="37" spans="1:12" ht="15.75" thickBot="1" x14ac:dyDescent="0.3">
      <c r="A37" s="18" t="s">
        <v>61</v>
      </c>
      <c r="B37" s="18" t="s">
        <v>19</v>
      </c>
      <c r="C37" s="26" t="s">
        <v>430</v>
      </c>
      <c r="D37" s="18" t="s">
        <v>29</v>
      </c>
      <c r="E37" s="18" t="s">
        <v>54</v>
      </c>
      <c r="F37" s="18">
        <v>20384</v>
      </c>
      <c r="G37" s="18">
        <v>344</v>
      </c>
      <c r="H37" s="18">
        <v>956</v>
      </c>
      <c r="I37" s="18">
        <v>655</v>
      </c>
      <c r="J37" s="27">
        <v>67621</v>
      </c>
      <c r="K37" s="18">
        <v>175720</v>
      </c>
      <c r="L37" s="18" t="s">
        <v>21</v>
      </c>
    </row>
    <row r="38" spans="1:12" ht="15.75" thickBot="1" x14ac:dyDescent="0.3">
      <c r="A38" s="18" t="s">
        <v>62</v>
      </c>
      <c r="B38" s="18" t="s">
        <v>16</v>
      </c>
      <c r="C38" s="26" t="s">
        <v>431</v>
      </c>
      <c r="D38" s="18" t="s">
        <v>13</v>
      </c>
      <c r="E38" s="18" t="s">
        <v>400</v>
      </c>
      <c r="F38" s="18">
        <v>11860</v>
      </c>
      <c r="G38" s="18">
        <v>1448</v>
      </c>
      <c r="H38" s="18">
        <v>893</v>
      </c>
      <c r="I38" s="18">
        <v>490</v>
      </c>
      <c r="J38" s="27">
        <v>23518</v>
      </c>
      <c r="K38" s="18">
        <v>206205</v>
      </c>
      <c r="L38" s="18" t="s">
        <v>14</v>
      </c>
    </row>
    <row r="39" spans="1:12" ht="15.75" thickBot="1" x14ac:dyDescent="0.3">
      <c r="A39" s="18" t="s">
        <v>63</v>
      </c>
      <c r="B39" s="18" t="s">
        <v>19</v>
      </c>
      <c r="C39" s="26" t="s">
        <v>432</v>
      </c>
      <c r="D39" s="18" t="s">
        <v>20</v>
      </c>
      <c r="E39" s="18" t="s">
        <v>398</v>
      </c>
      <c r="F39" s="18">
        <v>7989</v>
      </c>
      <c r="G39" s="18">
        <v>1206</v>
      </c>
      <c r="H39" s="18">
        <v>376</v>
      </c>
      <c r="I39" s="18">
        <v>2769</v>
      </c>
      <c r="J39" s="27">
        <v>27550</v>
      </c>
      <c r="K39" s="18">
        <v>221749</v>
      </c>
      <c r="L39" s="18" t="s">
        <v>21</v>
      </c>
    </row>
    <row r="40" spans="1:12" ht="15.75" thickBot="1" x14ac:dyDescent="0.3">
      <c r="A40" s="18" t="s">
        <v>64</v>
      </c>
      <c r="B40" s="18" t="s">
        <v>19</v>
      </c>
      <c r="C40" s="28">
        <v>45913</v>
      </c>
      <c r="D40" s="18" t="s">
        <v>29</v>
      </c>
      <c r="E40" s="18" t="s">
        <v>404</v>
      </c>
      <c r="F40" s="18">
        <v>17106</v>
      </c>
      <c r="G40" s="18">
        <v>702</v>
      </c>
      <c r="H40" s="18">
        <v>459</v>
      </c>
      <c r="I40" s="18">
        <v>999</v>
      </c>
      <c r="J40" s="27">
        <v>59627</v>
      </c>
      <c r="K40" s="18">
        <v>136059</v>
      </c>
      <c r="L40" s="18" t="s">
        <v>17</v>
      </c>
    </row>
    <row r="41" spans="1:12" ht="15.75" thickBot="1" x14ac:dyDescent="0.3">
      <c r="A41" s="18" t="s">
        <v>65</v>
      </c>
      <c r="B41" s="18" t="s">
        <v>12</v>
      </c>
      <c r="C41" s="28">
        <v>45914</v>
      </c>
      <c r="D41" s="18" t="s">
        <v>29</v>
      </c>
      <c r="E41" s="18" t="s">
        <v>406</v>
      </c>
      <c r="F41" s="18">
        <v>19844</v>
      </c>
      <c r="G41" s="18">
        <v>1020</v>
      </c>
      <c r="H41" s="18">
        <v>247</v>
      </c>
      <c r="I41" s="18">
        <v>2354</v>
      </c>
      <c r="J41" s="27">
        <v>37792</v>
      </c>
      <c r="K41" s="18">
        <v>138317</v>
      </c>
      <c r="L41" s="18" t="s">
        <v>17</v>
      </c>
    </row>
    <row r="42" spans="1:12" ht="15.75" thickBot="1" x14ac:dyDescent="0.3">
      <c r="A42" s="18" t="s">
        <v>66</v>
      </c>
      <c r="B42" s="18" t="s">
        <v>12</v>
      </c>
      <c r="C42" s="28">
        <v>45915</v>
      </c>
      <c r="D42" s="18" t="s">
        <v>20</v>
      </c>
      <c r="E42" s="18" t="s">
        <v>398</v>
      </c>
      <c r="F42" s="18">
        <v>5636</v>
      </c>
      <c r="G42" s="18">
        <v>303</v>
      </c>
      <c r="H42" s="18">
        <v>204</v>
      </c>
      <c r="I42" s="18">
        <v>2480</v>
      </c>
      <c r="J42" s="27">
        <v>7377</v>
      </c>
      <c r="K42" s="18">
        <v>241207</v>
      </c>
      <c r="L42" s="18" t="s">
        <v>17</v>
      </c>
    </row>
    <row r="43" spans="1:12" ht="15.75" thickBot="1" x14ac:dyDescent="0.3">
      <c r="A43" s="18" t="s">
        <v>67</v>
      </c>
      <c r="B43" s="18" t="s">
        <v>12</v>
      </c>
      <c r="C43" s="26" t="s">
        <v>433</v>
      </c>
      <c r="D43" s="18" t="s">
        <v>29</v>
      </c>
      <c r="E43" s="18" t="s">
        <v>415</v>
      </c>
      <c r="F43" s="18">
        <v>12916</v>
      </c>
      <c r="G43" s="18">
        <v>1262</v>
      </c>
      <c r="H43" s="18">
        <v>772</v>
      </c>
      <c r="I43" s="18">
        <v>856</v>
      </c>
      <c r="J43" s="27">
        <v>11496</v>
      </c>
      <c r="K43" s="18">
        <v>75046</v>
      </c>
      <c r="L43" s="18" t="s">
        <v>21</v>
      </c>
    </row>
    <row r="44" spans="1:12" ht="15.75" thickBot="1" x14ac:dyDescent="0.3">
      <c r="A44" s="18" t="s">
        <v>68</v>
      </c>
      <c r="B44" s="18" t="s">
        <v>33</v>
      </c>
      <c r="C44" s="28">
        <v>45916</v>
      </c>
      <c r="D44" s="18" t="s">
        <v>20</v>
      </c>
      <c r="E44" s="18" t="s">
        <v>54</v>
      </c>
      <c r="F44" s="18">
        <v>6809</v>
      </c>
      <c r="G44" s="18">
        <v>397</v>
      </c>
      <c r="H44" s="18">
        <v>813</v>
      </c>
      <c r="I44" s="18">
        <v>1125</v>
      </c>
      <c r="J44" s="27">
        <v>12206</v>
      </c>
      <c r="K44" s="18">
        <v>218136</v>
      </c>
      <c r="L44" s="18" t="s">
        <v>17</v>
      </c>
    </row>
    <row r="45" spans="1:12" ht="15.75" thickBot="1" x14ac:dyDescent="0.3">
      <c r="A45" s="18" t="s">
        <v>69</v>
      </c>
      <c r="B45" s="18" t="s">
        <v>16</v>
      </c>
      <c r="C45" s="26" t="s">
        <v>434</v>
      </c>
      <c r="D45" s="18" t="s">
        <v>23</v>
      </c>
      <c r="E45" s="18" t="s">
        <v>419</v>
      </c>
      <c r="F45" s="18">
        <v>22562</v>
      </c>
      <c r="G45" s="18">
        <v>778</v>
      </c>
      <c r="H45" s="18">
        <v>907</v>
      </c>
      <c r="I45" s="18">
        <v>1354</v>
      </c>
      <c r="J45" s="27">
        <v>34475</v>
      </c>
      <c r="K45" s="18">
        <v>141459</v>
      </c>
      <c r="L45" s="18" t="s">
        <v>24</v>
      </c>
    </row>
    <row r="46" spans="1:12" ht="15.75" thickBot="1" x14ac:dyDescent="0.3">
      <c r="A46" s="18" t="s">
        <v>70</v>
      </c>
      <c r="B46" s="18" t="s">
        <v>16</v>
      </c>
      <c r="C46" s="28">
        <v>45917</v>
      </c>
      <c r="D46" s="18" t="s">
        <v>20</v>
      </c>
      <c r="E46" s="18" t="s">
        <v>404</v>
      </c>
      <c r="F46" s="18">
        <v>15456</v>
      </c>
      <c r="G46" s="18">
        <v>590</v>
      </c>
      <c r="H46" s="18">
        <v>555</v>
      </c>
      <c r="I46" s="18">
        <v>2882</v>
      </c>
      <c r="J46" s="27">
        <v>49816</v>
      </c>
      <c r="K46" s="18">
        <v>240422</v>
      </c>
      <c r="L46" s="18" t="s">
        <v>17</v>
      </c>
    </row>
    <row r="47" spans="1:12" ht="15.75" thickBot="1" x14ac:dyDescent="0.3">
      <c r="A47" s="18" t="s">
        <v>71</v>
      </c>
      <c r="B47" s="18" t="s">
        <v>16</v>
      </c>
      <c r="C47" s="26" t="s">
        <v>435</v>
      </c>
      <c r="D47" s="18" t="s">
        <v>20</v>
      </c>
      <c r="E47" s="18" t="s">
        <v>415</v>
      </c>
      <c r="F47" s="18">
        <v>17444</v>
      </c>
      <c r="G47" s="18">
        <v>1402</v>
      </c>
      <c r="H47" s="18">
        <v>218</v>
      </c>
      <c r="I47" s="18">
        <v>725</v>
      </c>
      <c r="J47" s="27">
        <v>8710</v>
      </c>
      <c r="K47" s="18">
        <v>85893</v>
      </c>
      <c r="L47" s="18" t="s">
        <v>37</v>
      </c>
    </row>
    <row r="48" spans="1:12" ht="15.75" thickBot="1" x14ac:dyDescent="0.3">
      <c r="A48" s="18" t="s">
        <v>72</v>
      </c>
      <c r="B48" s="18" t="s">
        <v>16</v>
      </c>
      <c r="C48" s="26" t="s">
        <v>436</v>
      </c>
      <c r="D48" s="18" t="s">
        <v>20</v>
      </c>
      <c r="E48" s="18" t="s">
        <v>409</v>
      </c>
      <c r="F48" s="18">
        <v>24984</v>
      </c>
      <c r="G48" s="18">
        <v>753</v>
      </c>
      <c r="H48" s="18">
        <v>461</v>
      </c>
      <c r="I48" s="18">
        <v>2710</v>
      </c>
      <c r="J48" s="27">
        <v>20792</v>
      </c>
      <c r="K48" s="18">
        <v>141520</v>
      </c>
      <c r="L48" s="18" t="s">
        <v>21</v>
      </c>
    </row>
    <row r="49" spans="1:12" ht="15.75" thickBot="1" x14ac:dyDescent="0.3">
      <c r="A49" s="18" t="s">
        <v>73</v>
      </c>
      <c r="B49" s="18" t="s">
        <v>12</v>
      </c>
      <c r="C49" s="26" t="s">
        <v>408</v>
      </c>
      <c r="D49" s="18" t="s">
        <v>29</v>
      </c>
      <c r="E49" s="18" t="s">
        <v>397</v>
      </c>
      <c r="F49" s="18">
        <v>7997</v>
      </c>
      <c r="G49" s="18">
        <v>1238</v>
      </c>
      <c r="H49" s="18">
        <v>438</v>
      </c>
      <c r="I49" s="18">
        <v>1874</v>
      </c>
      <c r="J49" s="27">
        <v>36272</v>
      </c>
      <c r="K49" s="18">
        <v>165818</v>
      </c>
      <c r="L49" s="18" t="s">
        <v>37</v>
      </c>
    </row>
    <row r="50" spans="1:12" ht="15.75" thickBot="1" x14ac:dyDescent="0.3">
      <c r="A50" s="18" t="s">
        <v>74</v>
      </c>
      <c r="B50" s="18" t="s">
        <v>33</v>
      </c>
      <c r="C50" s="28">
        <v>45918</v>
      </c>
      <c r="D50" s="18" t="s">
        <v>29</v>
      </c>
      <c r="E50" s="18" t="s">
        <v>415</v>
      </c>
      <c r="F50" s="18">
        <v>4048</v>
      </c>
      <c r="G50" s="18">
        <v>677</v>
      </c>
      <c r="H50" s="18">
        <v>911</v>
      </c>
      <c r="I50" s="18">
        <v>2429</v>
      </c>
      <c r="J50" s="27">
        <v>27361</v>
      </c>
      <c r="K50" s="18">
        <v>101272</v>
      </c>
      <c r="L50" s="18" t="s">
        <v>17</v>
      </c>
    </row>
    <row r="51" spans="1:12" ht="15.75" thickBot="1" x14ac:dyDescent="0.3">
      <c r="A51" s="18" t="s">
        <v>75</v>
      </c>
      <c r="B51" s="18" t="s">
        <v>33</v>
      </c>
      <c r="C51" s="26" t="s">
        <v>437</v>
      </c>
      <c r="D51" s="18" t="s">
        <v>20</v>
      </c>
      <c r="E51" s="18" t="s">
        <v>404</v>
      </c>
      <c r="F51" s="18">
        <v>14338</v>
      </c>
      <c r="G51" s="18">
        <v>1454</v>
      </c>
      <c r="H51" s="18">
        <v>697</v>
      </c>
      <c r="I51" s="18">
        <v>2703</v>
      </c>
      <c r="J51" s="27">
        <v>21288</v>
      </c>
      <c r="K51" s="18">
        <v>107649</v>
      </c>
      <c r="L51" s="18" t="s">
        <v>24</v>
      </c>
    </row>
    <row r="52" spans="1:12" ht="15.75" thickBot="1" x14ac:dyDescent="0.3">
      <c r="A52" s="18" t="s">
        <v>76</v>
      </c>
      <c r="B52" s="18" t="s">
        <v>12</v>
      </c>
      <c r="C52" s="26" t="s">
        <v>438</v>
      </c>
      <c r="D52" s="18" t="s">
        <v>29</v>
      </c>
      <c r="E52" s="18" t="s">
        <v>406</v>
      </c>
      <c r="F52" s="18">
        <v>23164</v>
      </c>
      <c r="G52" s="18">
        <v>1122</v>
      </c>
      <c r="H52" s="18">
        <v>900</v>
      </c>
      <c r="I52" s="18">
        <v>888</v>
      </c>
      <c r="J52" s="27">
        <v>36938</v>
      </c>
      <c r="K52" s="18">
        <v>104674</v>
      </c>
      <c r="L52" s="18" t="s">
        <v>14</v>
      </c>
    </row>
    <row r="53" spans="1:12" ht="15.75" thickBot="1" x14ac:dyDescent="0.3">
      <c r="A53" s="18" t="s">
        <v>77</v>
      </c>
      <c r="B53" s="18" t="s">
        <v>33</v>
      </c>
      <c r="C53" s="28">
        <v>45919</v>
      </c>
      <c r="D53" s="18" t="s">
        <v>13</v>
      </c>
      <c r="E53" s="18" t="s">
        <v>406</v>
      </c>
      <c r="F53" s="18">
        <v>19100</v>
      </c>
      <c r="G53" s="18">
        <v>619</v>
      </c>
      <c r="H53" s="18">
        <v>297</v>
      </c>
      <c r="I53" s="18">
        <v>2312</v>
      </c>
      <c r="J53" s="27">
        <v>9730</v>
      </c>
      <c r="K53" s="18">
        <v>184832</v>
      </c>
      <c r="L53" s="18" t="s">
        <v>17</v>
      </c>
    </row>
    <row r="54" spans="1:12" ht="15.75" thickBot="1" x14ac:dyDescent="0.3">
      <c r="A54" s="18" t="s">
        <v>78</v>
      </c>
      <c r="B54" s="18" t="s">
        <v>12</v>
      </c>
      <c r="C54" s="26" t="s">
        <v>436</v>
      </c>
      <c r="D54" s="18" t="s">
        <v>13</v>
      </c>
      <c r="E54" s="18" t="s">
        <v>415</v>
      </c>
      <c r="F54" s="18">
        <v>23949</v>
      </c>
      <c r="G54" s="18">
        <v>356</v>
      </c>
      <c r="H54" s="18">
        <v>616</v>
      </c>
      <c r="I54" s="18">
        <v>1847</v>
      </c>
      <c r="J54" s="27">
        <v>3144</v>
      </c>
      <c r="K54" s="18">
        <v>192999</v>
      </c>
      <c r="L54" s="18" t="s">
        <v>24</v>
      </c>
    </row>
    <row r="55" spans="1:12" ht="15.75" thickBot="1" x14ac:dyDescent="0.3">
      <c r="A55" s="18" t="s">
        <v>79</v>
      </c>
      <c r="B55" s="18" t="s">
        <v>16</v>
      </c>
      <c r="C55" s="26" t="s">
        <v>439</v>
      </c>
      <c r="D55" s="18" t="s">
        <v>29</v>
      </c>
      <c r="E55" s="18" t="s">
        <v>400</v>
      </c>
      <c r="F55" s="18">
        <v>6544</v>
      </c>
      <c r="G55" s="18">
        <v>749</v>
      </c>
      <c r="H55" s="18">
        <v>888</v>
      </c>
      <c r="I55" s="18">
        <v>594</v>
      </c>
      <c r="J55" s="27">
        <v>18171</v>
      </c>
      <c r="K55" s="18">
        <v>126475</v>
      </c>
      <c r="L55" s="18" t="s">
        <v>21</v>
      </c>
    </row>
    <row r="56" spans="1:12" ht="15.75" thickBot="1" x14ac:dyDescent="0.3">
      <c r="A56" s="18" t="s">
        <v>80</v>
      </c>
      <c r="B56" s="18" t="s">
        <v>12</v>
      </c>
      <c r="C56" s="26" t="s">
        <v>440</v>
      </c>
      <c r="D56" s="18" t="s">
        <v>29</v>
      </c>
      <c r="E56" s="18" t="s">
        <v>397</v>
      </c>
      <c r="F56" s="18">
        <v>6976</v>
      </c>
      <c r="G56" s="18">
        <v>1320</v>
      </c>
      <c r="H56" s="18">
        <v>393</v>
      </c>
      <c r="I56" s="18">
        <v>2285</v>
      </c>
      <c r="J56" s="27">
        <v>14049</v>
      </c>
      <c r="K56" s="18">
        <v>101367</v>
      </c>
      <c r="L56" s="18" t="s">
        <v>37</v>
      </c>
    </row>
    <row r="57" spans="1:12" ht="15.75" thickBot="1" x14ac:dyDescent="0.3">
      <c r="A57" s="18" t="s">
        <v>81</v>
      </c>
      <c r="B57" s="18" t="s">
        <v>16</v>
      </c>
      <c r="C57" s="26" t="s">
        <v>441</v>
      </c>
      <c r="D57" s="18" t="s">
        <v>20</v>
      </c>
      <c r="E57" s="18" t="s">
        <v>409</v>
      </c>
      <c r="F57" s="18">
        <v>14775</v>
      </c>
      <c r="G57" s="18">
        <v>1220</v>
      </c>
      <c r="H57" s="18">
        <v>640</v>
      </c>
      <c r="I57" s="18">
        <v>1547</v>
      </c>
      <c r="J57" s="27">
        <v>28527</v>
      </c>
      <c r="K57" s="18">
        <v>183660</v>
      </c>
      <c r="L57" s="18" t="s">
        <v>37</v>
      </c>
    </row>
    <row r="58" spans="1:12" ht="15.75" thickBot="1" x14ac:dyDescent="0.3">
      <c r="A58" s="18" t="s">
        <v>82</v>
      </c>
      <c r="B58" s="18" t="s">
        <v>16</v>
      </c>
      <c r="C58" s="26" t="s">
        <v>442</v>
      </c>
      <c r="D58" s="18" t="s">
        <v>23</v>
      </c>
      <c r="E58" s="18" t="s">
        <v>415</v>
      </c>
      <c r="F58" s="18">
        <v>12015</v>
      </c>
      <c r="G58" s="18">
        <v>1196</v>
      </c>
      <c r="H58" s="18">
        <v>998</v>
      </c>
      <c r="I58" s="18">
        <v>1848</v>
      </c>
      <c r="J58" s="27">
        <v>44739</v>
      </c>
      <c r="K58" s="18">
        <v>161750</v>
      </c>
      <c r="L58" s="18" t="s">
        <v>37</v>
      </c>
    </row>
    <row r="59" spans="1:12" ht="15.75" thickBot="1" x14ac:dyDescent="0.3">
      <c r="A59" s="18" t="s">
        <v>83</v>
      </c>
      <c r="B59" s="18" t="s">
        <v>19</v>
      </c>
      <c r="C59" s="26" t="s">
        <v>443</v>
      </c>
      <c r="D59" s="18" t="s">
        <v>29</v>
      </c>
      <c r="E59" s="18" t="s">
        <v>400</v>
      </c>
      <c r="F59" s="18">
        <v>5419</v>
      </c>
      <c r="G59" s="18">
        <v>1150</v>
      </c>
      <c r="H59" s="18">
        <v>656</v>
      </c>
      <c r="I59" s="18">
        <v>1990</v>
      </c>
      <c r="J59" s="27">
        <v>410</v>
      </c>
      <c r="K59" s="18">
        <v>158154</v>
      </c>
      <c r="L59" s="18" t="s">
        <v>21</v>
      </c>
    </row>
    <row r="60" spans="1:12" ht="15.75" thickBot="1" x14ac:dyDescent="0.3">
      <c r="A60" s="18" t="s">
        <v>84</v>
      </c>
      <c r="B60" s="18" t="s">
        <v>12</v>
      </c>
      <c r="C60" s="26" t="s">
        <v>444</v>
      </c>
      <c r="D60" s="18" t="s">
        <v>13</v>
      </c>
      <c r="E60" s="18" t="s">
        <v>406</v>
      </c>
      <c r="F60" s="18">
        <v>16430</v>
      </c>
      <c r="G60" s="18">
        <v>488</v>
      </c>
      <c r="H60" s="18">
        <v>514</v>
      </c>
      <c r="I60" s="18">
        <v>1436</v>
      </c>
      <c r="J60" s="27">
        <v>30059</v>
      </c>
      <c r="K60" s="18">
        <v>223305</v>
      </c>
      <c r="L60" s="18" t="s">
        <v>24</v>
      </c>
    </row>
    <row r="61" spans="1:12" ht="15.75" thickBot="1" x14ac:dyDescent="0.3">
      <c r="A61" s="18" t="s">
        <v>85</v>
      </c>
      <c r="B61" s="18" t="s">
        <v>19</v>
      </c>
      <c r="C61" s="26" t="s">
        <v>445</v>
      </c>
      <c r="D61" s="18" t="s">
        <v>20</v>
      </c>
      <c r="E61" s="18" t="s">
        <v>406</v>
      </c>
      <c r="F61" s="18">
        <v>9239</v>
      </c>
      <c r="G61" s="18">
        <v>1477</v>
      </c>
      <c r="H61" s="18">
        <v>631</v>
      </c>
      <c r="I61" s="18">
        <v>1556</v>
      </c>
      <c r="J61" s="27">
        <v>11580</v>
      </c>
      <c r="K61" s="18">
        <v>84738</v>
      </c>
      <c r="L61" s="18" t="s">
        <v>21</v>
      </c>
    </row>
    <row r="62" spans="1:12" ht="15.75" thickBot="1" x14ac:dyDescent="0.3">
      <c r="A62" s="18" t="s">
        <v>86</v>
      </c>
      <c r="B62" s="18" t="s">
        <v>12</v>
      </c>
      <c r="C62" s="26" t="s">
        <v>446</v>
      </c>
      <c r="D62" s="18" t="s">
        <v>29</v>
      </c>
      <c r="E62" s="18" t="s">
        <v>54</v>
      </c>
      <c r="F62" s="18">
        <v>16489</v>
      </c>
      <c r="G62" s="18">
        <v>395</v>
      </c>
      <c r="H62" s="18">
        <v>350</v>
      </c>
      <c r="I62" s="18">
        <v>2364</v>
      </c>
      <c r="J62" s="27">
        <v>43239</v>
      </c>
      <c r="K62" s="18">
        <v>73397</v>
      </c>
      <c r="L62" s="18" t="s">
        <v>37</v>
      </c>
    </row>
    <row r="63" spans="1:12" ht="15.75" thickBot="1" x14ac:dyDescent="0.3">
      <c r="A63" s="18" t="s">
        <v>87</v>
      </c>
      <c r="B63" s="18" t="s">
        <v>12</v>
      </c>
      <c r="C63" s="28">
        <v>45920</v>
      </c>
      <c r="D63" s="18" t="s">
        <v>13</v>
      </c>
      <c r="E63" s="18" t="s">
        <v>415</v>
      </c>
      <c r="F63" s="18">
        <v>18633</v>
      </c>
      <c r="G63" s="18">
        <v>797</v>
      </c>
      <c r="H63" s="18">
        <v>303</v>
      </c>
      <c r="I63" s="18">
        <v>659</v>
      </c>
      <c r="J63" s="27">
        <v>7</v>
      </c>
      <c r="K63" s="18">
        <v>122189</v>
      </c>
      <c r="L63" s="18" t="s">
        <v>17</v>
      </c>
    </row>
    <row r="64" spans="1:12" ht="15.75" thickBot="1" x14ac:dyDescent="0.3">
      <c r="A64" s="18" t="s">
        <v>88</v>
      </c>
      <c r="B64" s="18" t="s">
        <v>19</v>
      </c>
      <c r="C64" s="26" t="s">
        <v>428</v>
      </c>
      <c r="D64" s="18" t="s">
        <v>13</v>
      </c>
      <c r="E64" s="18" t="s">
        <v>397</v>
      </c>
      <c r="F64" s="18">
        <v>12357</v>
      </c>
      <c r="G64" s="18">
        <v>716</v>
      </c>
      <c r="H64" s="18">
        <v>599</v>
      </c>
      <c r="I64" s="18">
        <v>999</v>
      </c>
      <c r="J64" s="27">
        <v>89591</v>
      </c>
      <c r="K64" s="18">
        <v>116367</v>
      </c>
      <c r="L64" s="18" t="s">
        <v>14</v>
      </c>
    </row>
    <row r="65" spans="1:12" ht="15.75" thickBot="1" x14ac:dyDescent="0.3">
      <c r="A65" s="18" t="s">
        <v>89</v>
      </c>
      <c r="B65" s="18" t="s">
        <v>19</v>
      </c>
      <c r="C65" s="26" t="s">
        <v>447</v>
      </c>
      <c r="D65" s="18" t="s">
        <v>23</v>
      </c>
      <c r="E65" s="18" t="s">
        <v>27</v>
      </c>
      <c r="F65" s="18">
        <v>19154</v>
      </c>
      <c r="G65" s="18">
        <v>1064</v>
      </c>
      <c r="H65" s="18">
        <v>650</v>
      </c>
      <c r="I65" s="18">
        <v>747</v>
      </c>
      <c r="J65" s="27">
        <v>42667</v>
      </c>
      <c r="K65" s="18">
        <v>242332</v>
      </c>
      <c r="L65" s="18" t="s">
        <v>21</v>
      </c>
    </row>
    <row r="66" spans="1:12" ht="15.75" thickBot="1" x14ac:dyDescent="0.3">
      <c r="A66" s="18" t="s">
        <v>90</v>
      </c>
      <c r="B66" s="18" t="s">
        <v>12</v>
      </c>
      <c r="C66" s="26" t="s">
        <v>448</v>
      </c>
      <c r="D66" s="18" t="s">
        <v>20</v>
      </c>
      <c r="E66" s="18" t="s">
        <v>397</v>
      </c>
      <c r="F66" s="18">
        <v>6363</v>
      </c>
      <c r="G66" s="18">
        <v>1341</v>
      </c>
      <c r="H66" s="18">
        <v>222</v>
      </c>
      <c r="I66" s="18">
        <v>2712</v>
      </c>
      <c r="J66" s="27">
        <v>19987</v>
      </c>
      <c r="K66" s="18">
        <v>160585</v>
      </c>
      <c r="L66" s="18" t="s">
        <v>21</v>
      </c>
    </row>
    <row r="67" spans="1:12" ht="15.75" thickBot="1" x14ac:dyDescent="0.3">
      <c r="A67" s="18" t="s">
        <v>91</v>
      </c>
      <c r="B67" s="18" t="s">
        <v>33</v>
      </c>
      <c r="C67" s="26" t="s">
        <v>449</v>
      </c>
      <c r="D67" s="18" t="s">
        <v>20</v>
      </c>
      <c r="E67" s="18" t="s">
        <v>406</v>
      </c>
      <c r="F67" s="18">
        <v>12176</v>
      </c>
      <c r="G67" s="18">
        <v>1005</v>
      </c>
      <c r="H67" s="18">
        <v>862</v>
      </c>
      <c r="I67" s="18">
        <v>974</v>
      </c>
      <c r="J67" s="27">
        <v>2285</v>
      </c>
      <c r="K67" s="18">
        <v>116619</v>
      </c>
      <c r="L67" s="18" t="s">
        <v>24</v>
      </c>
    </row>
    <row r="68" spans="1:12" ht="15.75" thickBot="1" x14ac:dyDescent="0.3">
      <c r="A68" s="18" t="s">
        <v>92</v>
      </c>
      <c r="B68" s="18" t="s">
        <v>16</v>
      </c>
      <c r="C68" s="26" t="s">
        <v>450</v>
      </c>
      <c r="D68" s="18" t="s">
        <v>23</v>
      </c>
      <c r="E68" s="18" t="s">
        <v>406</v>
      </c>
      <c r="F68" s="18">
        <v>19461</v>
      </c>
      <c r="G68" s="18">
        <v>1382</v>
      </c>
      <c r="H68" s="18">
        <v>445</v>
      </c>
      <c r="I68" s="18">
        <v>1307</v>
      </c>
      <c r="J68" s="27">
        <v>84691</v>
      </c>
      <c r="K68" s="18">
        <v>151453</v>
      </c>
      <c r="L68" s="18" t="s">
        <v>24</v>
      </c>
    </row>
    <row r="69" spans="1:12" ht="15.75" thickBot="1" x14ac:dyDescent="0.3">
      <c r="A69" s="18" t="s">
        <v>93</v>
      </c>
      <c r="B69" s="18" t="s">
        <v>19</v>
      </c>
      <c r="C69" s="26" t="s">
        <v>451</v>
      </c>
      <c r="D69" s="18" t="s">
        <v>23</v>
      </c>
      <c r="E69" s="18" t="s">
        <v>398</v>
      </c>
      <c r="F69" s="18">
        <v>10427</v>
      </c>
      <c r="G69" s="18">
        <v>1014</v>
      </c>
      <c r="H69" s="18">
        <v>166</v>
      </c>
      <c r="I69" s="18">
        <v>1649</v>
      </c>
      <c r="J69" s="27">
        <v>15145</v>
      </c>
      <c r="K69" s="18">
        <v>59816</v>
      </c>
      <c r="L69" s="18" t="s">
        <v>21</v>
      </c>
    </row>
    <row r="70" spans="1:12" ht="15.75" thickBot="1" x14ac:dyDescent="0.3">
      <c r="A70" s="18" t="s">
        <v>94</v>
      </c>
      <c r="B70" s="18" t="s">
        <v>16</v>
      </c>
      <c r="C70" s="26" t="s">
        <v>452</v>
      </c>
      <c r="D70" s="18" t="s">
        <v>20</v>
      </c>
      <c r="E70" s="18" t="s">
        <v>406</v>
      </c>
      <c r="F70" s="18">
        <v>10580</v>
      </c>
      <c r="G70" s="18">
        <v>427</v>
      </c>
      <c r="H70" s="18">
        <v>790</v>
      </c>
      <c r="I70" s="18">
        <v>2814</v>
      </c>
      <c r="J70" s="27">
        <v>24916</v>
      </c>
      <c r="K70" s="18">
        <v>213312</v>
      </c>
      <c r="L70" s="18" t="s">
        <v>37</v>
      </c>
    </row>
    <row r="71" spans="1:12" ht="15.75" thickBot="1" x14ac:dyDescent="0.3">
      <c r="A71" s="18" t="s">
        <v>95</v>
      </c>
      <c r="B71" s="18" t="s">
        <v>33</v>
      </c>
      <c r="C71" s="26" t="s">
        <v>453</v>
      </c>
      <c r="D71" s="18" t="s">
        <v>20</v>
      </c>
      <c r="E71" s="18" t="s">
        <v>409</v>
      </c>
      <c r="F71" s="18">
        <v>6858</v>
      </c>
      <c r="G71" s="18">
        <v>415</v>
      </c>
      <c r="H71" s="18">
        <v>366</v>
      </c>
      <c r="I71" s="18">
        <v>2761</v>
      </c>
      <c r="J71" s="27">
        <v>2988</v>
      </c>
      <c r="K71" s="18">
        <v>177348</v>
      </c>
      <c r="L71" s="18" t="s">
        <v>14</v>
      </c>
    </row>
    <row r="72" spans="1:12" ht="15.75" thickBot="1" x14ac:dyDescent="0.3">
      <c r="A72" s="18" t="s">
        <v>96</v>
      </c>
      <c r="B72" s="18" t="s">
        <v>33</v>
      </c>
      <c r="C72" s="26" t="s">
        <v>454</v>
      </c>
      <c r="D72" s="18" t="s">
        <v>29</v>
      </c>
      <c r="E72" s="18" t="s">
        <v>402</v>
      </c>
      <c r="F72" s="18">
        <v>12040</v>
      </c>
      <c r="G72" s="18">
        <v>1147</v>
      </c>
      <c r="H72" s="18">
        <v>210</v>
      </c>
      <c r="I72" s="18">
        <v>885</v>
      </c>
      <c r="J72" s="27">
        <v>30360</v>
      </c>
      <c r="K72" s="18">
        <v>119530</v>
      </c>
      <c r="L72" s="18" t="s">
        <v>24</v>
      </c>
    </row>
    <row r="73" spans="1:12" ht="15.75" thickBot="1" x14ac:dyDescent="0.3">
      <c r="A73" s="18" t="s">
        <v>97</v>
      </c>
      <c r="B73" s="18" t="s">
        <v>33</v>
      </c>
      <c r="C73" s="26" t="s">
        <v>455</v>
      </c>
      <c r="D73" s="18" t="s">
        <v>29</v>
      </c>
      <c r="E73" s="18" t="s">
        <v>415</v>
      </c>
      <c r="F73" s="18">
        <v>24928</v>
      </c>
      <c r="G73" s="18">
        <v>214</v>
      </c>
      <c r="H73" s="18">
        <v>765</v>
      </c>
      <c r="I73" s="18">
        <v>1556</v>
      </c>
      <c r="J73" s="27">
        <v>5239</v>
      </c>
      <c r="K73" s="18">
        <v>194571</v>
      </c>
      <c r="L73" s="18" t="s">
        <v>37</v>
      </c>
    </row>
    <row r="74" spans="1:12" ht="15.75" thickBot="1" x14ac:dyDescent="0.3">
      <c r="A74" s="18" t="s">
        <v>98</v>
      </c>
      <c r="B74" s="18" t="s">
        <v>19</v>
      </c>
      <c r="C74" s="28">
        <v>45921</v>
      </c>
      <c r="D74" s="18" t="s">
        <v>23</v>
      </c>
      <c r="E74" s="18" t="s">
        <v>397</v>
      </c>
      <c r="F74" s="18">
        <v>23103</v>
      </c>
      <c r="G74" s="18">
        <v>1380</v>
      </c>
      <c r="H74" s="18">
        <v>191</v>
      </c>
      <c r="I74" s="18">
        <v>1547</v>
      </c>
      <c r="J74" s="27">
        <v>77798</v>
      </c>
      <c r="K74" s="18">
        <v>148856</v>
      </c>
      <c r="L74" s="18" t="s">
        <v>17</v>
      </c>
    </row>
    <row r="75" spans="1:12" ht="15.75" thickBot="1" x14ac:dyDescent="0.3">
      <c r="A75" s="18" t="s">
        <v>99</v>
      </c>
      <c r="B75" s="18" t="s">
        <v>33</v>
      </c>
      <c r="C75" s="26" t="s">
        <v>456</v>
      </c>
      <c r="D75" s="18" t="s">
        <v>29</v>
      </c>
      <c r="E75" s="18" t="s">
        <v>402</v>
      </c>
      <c r="F75" s="18">
        <v>21198</v>
      </c>
      <c r="G75" s="18">
        <v>1484</v>
      </c>
      <c r="H75" s="18">
        <v>174</v>
      </c>
      <c r="I75" s="18">
        <v>1293</v>
      </c>
      <c r="J75" s="27">
        <v>16330</v>
      </c>
      <c r="K75" s="18">
        <v>111635</v>
      </c>
      <c r="L75" s="18" t="s">
        <v>24</v>
      </c>
    </row>
    <row r="76" spans="1:12" ht="15.75" thickBot="1" x14ac:dyDescent="0.3">
      <c r="A76" s="18" t="s">
        <v>100</v>
      </c>
      <c r="B76" s="18" t="s">
        <v>19</v>
      </c>
      <c r="C76" s="26" t="s">
        <v>457</v>
      </c>
      <c r="D76" s="18" t="s">
        <v>13</v>
      </c>
      <c r="E76" s="18" t="s">
        <v>400</v>
      </c>
      <c r="F76" s="18">
        <v>21758</v>
      </c>
      <c r="G76" s="18">
        <v>1380</v>
      </c>
      <c r="H76" s="18">
        <v>188</v>
      </c>
      <c r="I76" s="18">
        <v>1735</v>
      </c>
      <c r="J76" s="27">
        <v>20998</v>
      </c>
      <c r="K76" s="18">
        <v>147803</v>
      </c>
      <c r="L76" s="18" t="s">
        <v>37</v>
      </c>
    </row>
    <row r="77" spans="1:12" ht="15.75" thickBot="1" x14ac:dyDescent="0.3">
      <c r="A77" s="18" t="s">
        <v>101</v>
      </c>
      <c r="B77" s="18" t="s">
        <v>33</v>
      </c>
      <c r="C77" s="26" t="s">
        <v>458</v>
      </c>
      <c r="D77" s="18" t="s">
        <v>29</v>
      </c>
      <c r="E77" s="18" t="s">
        <v>27</v>
      </c>
      <c r="F77" s="18">
        <v>17254</v>
      </c>
      <c r="G77" s="18">
        <v>246</v>
      </c>
      <c r="H77" s="18">
        <v>952</v>
      </c>
      <c r="I77" s="18">
        <v>871</v>
      </c>
      <c r="J77" s="27">
        <v>14957</v>
      </c>
      <c r="K77" s="18">
        <v>75946</v>
      </c>
      <c r="L77" s="18" t="s">
        <v>37</v>
      </c>
    </row>
    <row r="78" spans="1:12" ht="15.75" thickBot="1" x14ac:dyDescent="0.3">
      <c r="A78" s="18" t="s">
        <v>102</v>
      </c>
      <c r="B78" s="18" t="s">
        <v>16</v>
      </c>
      <c r="C78" s="26" t="s">
        <v>425</v>
      </c>
      <c r="D78" s="18" t="s">
        <v>29</v>
      </c>
      <c r="E78" s="18" t="s">
        <v>409</v>
      </c>
      <c r="F78" s="18">
        <v>13470</v>
      </c>
      <c r="G78" s="18">
        <v>523</v>
      </c>
      <c r="H78" s="18">
        <v>280</v>
      </c>
      <c r="I78" s="18">
        <v>2682</v>
      </c>
      <c r="J78" s="27">
        <v>8538</v>
      </c>
      <c r="K78" s="18">
        <v>95204</v>
      </c>
      <c r="L78" s="18" t="s">
        <v>14</v>
      </c>
    </row>
    <row r="79" spans="1:12" ht="15.75" thickBot="1" x14ac:dyDescent="0.3">
      <c r="A79" s="18" t="s">
        <v>103</v>
      </c>
      <c r="B79" s="18" t="s">
        <v>16</v>
      </c>
      <c r="C79" s="26" t="s">
        <v>440</v>
      </c>
      <c r="D79" s="18" t="s">
        <v>13</v>
      </c>
      <c r="E79" s="18" t="s">
        <v>404</v>
      </c>
      <c r="F79" s="18">
        <v>3252</v>
      </c>
      <c r="G79" s="18">
        <v>1043</v>
      </c>
      <c r="H79" s="18">
        <v>647</v>
      </c>
      <c r="I79" s="18">
        <v>1545</v>
      </c>
      <c r="J79" s="27">
        <v>18859</v>
      </c>
      <c r="K79" s="18">
        <v>222958</v>
      </c>
      <c r="L79" s="18" t="s">
        <v>14</v>
      </c>
    </row>
    <row r="80" spans="1:12" ht="15.75" thickBot="1" x14ac:dyDescent="0.3">
      <c r="A80" s="18" t="s">
        <v>104</v>
      </c>
      <c r="B80" s="18" t="s">
        <v>12</v>
      </c>
      <c r="C80" s="28">
        <v>45922</v>
      </c>
      <c r="D80" s="18" t="s">
        <v>23</v>
      </c>
      <c r="E80" s="18" t="s">
        <v>459</v>
      </c>
      <c r="F80" s="18">
        <v>8996</v>
      </c>
      <c r="G80" s="18">
        <v>329</v>
      </c>
      <c r="H80" s="18">
        <v>378</v>
      </c>
      <c r="I80" s="18">
        <v>2384</v>
      </c>
      <c r="J80" s="27">
        <v>39404</v>
      </c>
      <c r="K80" s="18">
        <v>242724</v>
      </c>
      <c r="L80" s="18" t="s">
        <v>17</v>
      </c>
    </row>
    <row r="81" spans="1:12" ht="15.75" thickBot="1" x14ac:dyDescent="0.3">
      <c r="A81" s="18" t="s">
        <v>105</v>
      </c>
      <c r="B81" s="18" t="s">
        <v>16</v>
      </c>
      <c r="C81" s="26" t="s">
        <v>438</v>
      </c>
      <c r="D81" s="18" t="s">
        <v>13</v>
      </c>
      <c r="E81" s="18" t="s">
        <v>397</v>
      </c>
      <c r="F81" s="18">
        <v>14173</v>
      </c>
      <c r="G81" s="18">
        <v>294</v>
      </c>
      <c r="H81" s="18">
        <v>257</v>
      </c>
      <c r="I81" s="18">
        <v>1288</v>
      </c>
      <c r="J81" s="27">
        <v>39466</v>
      </c>
      <c r="K81" s="18">
        <v>55563</v>
      </c>
      <c r="L81" s="18" t="s">
        <v>37</v>
      </c>
    </row>
    <row r="82" spans="1:12" ht="15.75" thickBot="1" x14ac:dyDescent="0.3">
      <c r="A82" s="18" t="s">
        <v>106</v>
      </c>
      <c r="B82" s="18" t="s">
        <v>12</v>
      </c>
      <c r="C82" s="26" t="s">
        <v>460</v>
      </c>
      <c r="D82" s="18" t="s">
        <v>29</v>
      </c>
      <c r="E82" s="18" t="s">
        <v>402</v>
      </c>
      <c r="F82" s="18">
        <v>6673</v>
      </c>
      <c r="G82" s="18">
        <v>826</v>
      </c>
      <c r="H82" s="18">
        <v>321</v>
      </c>
      <c r="I82" s="18">
        <v>577</v>
      </c>
      <c r="J82" s="27">
        <v>19262</v>
      </c>
      <c r="K82" s="18">
        <v>132324</v>
      </c>
      <c r="L82" s="18" t="s">
        <v>37</v>
      </c>
    </row>
    <row r="83" spans="1:12" ht="15.75" thickBot="1" x14ac:dyDescent="0.3">
      <c r="A83" s="18" t="s">
        <v>107</v>
      </c>
      <c r="B83" s="18" t="s">
        <v>16</v>
      </c>
      <c r="C83" s="26" t="s">
        <v>461</v>
      </c>
      <c r="D83" s="18" t="s">
        <v>23</v>
      </c>
      <c r="E83" s="18" t="s">
        <v>404</v>
      </c>
      <c r="F83" s="18">
        <v>22914</v>
      </c>
      <c r="G83" s="18">
        <v>954</v>
      </c>
      <c r="H83" s="18">
        <v>584</v>
      </c>
      <c r="I83" s="18">
        <v>1519</v>
      </c>
      <c r="J83" s="27">
        <v>13637</v>
      </c>
      <c r="K83" s="18">
        <v>49847</v>
      </c>
      <c r="L83" s="18" t="s">
        <v>14</v>
      </c>
    </row>
    <row r="84" spans="1:12" ht="15.75" thickBot="1" x14ac:dyDescent="0.3">
      <c r="A84" s="18" t="s">
        <v>108</v>
      </c>
      <c r="B84" s="18" t="s">
        <v>19</v>
      </c>
      <c r="C84" s="26" t="s">
        <v>462</v>
      </c>
      <c r="D84" s="18" t="s">
        <v>29</v>
      </c>
      <c r="E84" s="18" t="s">
        <v>27</v>
      </c>
      <c r="F84" s="18">
        <v>17781</v>
      </c>
      <c r="G84" s="18">
        <v>993</v>
      </c>
      <c r="H84" s="18">
        <v>627</v>
      </c>
      <c r="I84" s="18">
        <v>2187</v>
      </c>
      <c r="J84" s="27">
        <v>9609</v>
      </c>
      <c r="K84" s="18">
        <v>66155</v>
      </c>
      <c r="L84" s="18" t="s">
        <v>24</v>
      </c>
    </row>
    <row r="85" spans="1:12" ht="15.75" thickBot="1" x14ac:dyDescent="0.3">
      <c r="A85" s="18" t="s">
        <v>109</v>
      </c>
      <c r="B85" s="18" t="s">
        <v>16</v>
      </c>
      <c r="C85" s="26" t="s">
        <v>463</v>
      </c>
      <c r="D85" s="18" t="s">
        <v>13</v>
      </c>
      <c r="E85" s="18" t="s">
        <v>398</v>
      </c>
      <c r="F85" s="18">
        <v>15051</v>
      </c>
      <c r="G85" s="18">
        <v>268</v>
      </c>
      <c r="H85" s="18">
        <v>251</v>
      </c>
      <c r="I85" s="18">
        <v>783</v>
      </c>
      <c r="J85" s="27">
        <v>34154</v>
      </c>
      <c r="K85" s="18">
        <v>119671</v>
      </c>
      <c r="L85" s="18" t="s">
        <v>24</v>
      </c>
    </row>
    <row r="86" spans="1:12" ht="15.75" thickBot="1" x14ac:dyDescent="0.3">
      <c r="A86" s="18" t="s">
        <v>110</v>
      </c>
      <c r="B86" s="18" t="s">
        <v>12</v>
      </c>
      <c r="C86" s="26" t="s">
        <v>430</v>
      </c>
      <c r="D86" s="18" t="s">
        <v>13</v>
      </c>
      <c r="E86" s="18" t="s">
        <v>404</v>
      </c>
      <c r="F86" s="18">
        <v>8881</v>
      </c>
      <c r="G86" s="18">
        <v>210</v>
      </c>
      <c r="H86" s="18">
        <v>673</v>
      </c>
      <c r="I86" s="18">
        <v>1565</v>
      </c>
      <c r="J86" s="27">
        <v>24847</v>
      </c>
      <c r="K86" s="18">
        <v>156891</v>
      </c>
      <c r="L86" s="18" t="s">
        <v>21</v>
      </c>
    </row>
    <row r="87" spans="1:12" ht="15.75" thickBot="1" x14ac:dyDescent="0.3">
      <c r="A87" s="18" t="s">
        <v>111</v>
      </c>
      <c r="B87" s="18" t="s">
        <v>12</v>
      </c>
      <c r="C87" s="26" t="s">
        <v>464</v>
      </c>
      <c r="D87" s="18" t="s">
        <v>29</v>
      </c>
      <c r="E87" s="18" t="s">
        <v>409</v>
      </c>
      <c r="F87" s="18">
        <v>8949</v>
      </c>
      <c r="G87" s="18">
        <v>1477</v>
      </c>
      <c r="H87" s="18">
        <v>424</v>
      </c>
      <c r="I87" s="18">
        <v>1030</v>
      </c>
      <c r="J87" s="27">
        <v>58052</v>
      </c>
      <c r="K87" s="18">
        <v>123310</v>
      </c>
      <c r="L87" s="18" t="s">
        <v>14</v>
      </c>
    </row>
    <row r="88" spans="1:12" ht="15.75" thickBot="1" x14ac:dyDescent="0.3">
      <c r="A88" s="18" t="s">
        <v>112</v>
      </c>
      <c r="B88" s="18" t="s">
        <v>33</v>
      </c>
      <c r="C88" s="26" t="s">
        <v>465</v>
      </c>
      <c r="D88" s="18" t="s">
        <v>20</v>
      </c>
      <c r="E88" s="18" t="s">
        <v>409</v>
      </c>
      <c r="F88" s="18">
        <v>11521</v>
      </c>
      <c r="G88" s="18">
        <v>1071</v>
      </c>
      <c r="H88" s="18">
        <v>762</v>
      </c>
      <c r="I88" s="18">
        <v>2539</v>
      </c>
      <c r="J88" s="27">
        <v>12701</v>
      </c>
      <c r="K88" s="18">
        <v>238350</v>
      </c>
      <c r="L88" s="18" t="s">
        <v>21</v>
      </c>
    </row>
    <row r="89" spans="1:12" ht="15.75" thickBot="1" x14ac:dyDescent="0.3">
      <c r="A89" s="18" t="s">
        <v>113</v>
      </c>
      <c r="B89" s="18" t="s">
        <v>19</v>
      </c>
      <c r="C89" s="26" t="s">
        <v>466</v>
      </c>
      <c r="D89" s="18" t="s">
        <v>20</v>
      </c>
      <c r="E89" s="18" t="s">
        <v>398</v>
      </c>
      <c r="F89" s="18">
        <v>24625</v>
      </c>
      <c r="G89" s="18">
        <v>749</v>
      </c>
      <c r="H89" s="18">
        <v>193</v>
      </c>
      <c r="I89" s="18">
        <v>1340</v>
      </c>
      <c r="J89" s="27">
        <v>4890</v>
      </c>
      <c r="K89" s="18">
        <v>189381</v>
      </c>
      <c r="L89" s="18" t="s">
        <v>14</v>
      </c>
    </row>
    <row r="90" spans="1:12" ht="15.75" thickBot="1" x14ac:dyDescent="0.3">
      <c r="A90" s="18" t="s">
        <v>114</v>
      </c>
      <c r="B90" s="18" t="s">
        <v>16</v>
      </c>
      <c r="C90" s="28">
        <v>45923</v>
      </c>
      <c r="D90" s="18" t="s">
        <v>13</v>
      </c>
      <c r="E90" s="18" t="s">
        <v>459</v>
      </c>
      <c r="F90" s="18">
        <v>10017</v>
      </c>
      <c r="G90" s="18">
        <v>1357</v>
      </c>
      <c r="H90" s="18">
        <v>966</v>
      </c>
      <c r="I90" s="18">
        <v>2871</v>
      </c>
      <c r="J90" s="27">
        <v>14800</v>
      </c>
      <c r="K90" s="18">
        <v>171691</v>
      </c>
      <c r="L90" s="18" t="s">
        <v>17</v>
      </c>
    </row>
    <row r="91" spans="1:12" ht="15.75" thickBot="1" x14ac:dyDescent="0.3">
      <c r="A91" s="18" t="s">
        <v>115</v>
      </c>
      <c r="B91" s="18" t="s">
        <v>33</v>
      </c>
      <c r="C91" s="26" t="s">
        <v>467</v>
      </c>
      <c r="D91" s="18" t="s">
        <v>13</v>
      </c>
      <c r="E91" s="18" t="s">
        <v>415</v>
      </c>
      <c r="F91" s="18">
        <v>8941</v>
      </c>
      <c r="G91" s="18">
        <v>911</v>
      </c>
      <c r="H91" s="18">
        <v>166</v>
      </c>
      <c r="I91" s="18">
        <v>1217</v>
      </c>
      <c r="J91" s="27">
        <v>68817</v>
      </c>
      <c r="K91" s="18">
        <v>221180</v>
      </c>
      <c r="L91" s="18" t="s">
        <v>37</v>
      </c>
    </row>
    <row r="92" spans="1:12" ht="15.75" thickBot="1" x14ac:dyDescent="0.3">
      <c r="A92" s="18" t="s">
        <v>116</v>
      </c>
      <c r="B92" s="18" t="s">
        <v>16</v>
      </c>
      <c r="C92" s="28">
        <v>45924</v>
      </c>
      <c r="D92" s="18" t="s">
        <v>20</v>
      </c>
      <c r="E92" s="18" t="s">
        <v>404</v>
      </c>
      <c r="F92" s="18">
        <v>12209</v>
      </c>
      <c r="G92" s="18">
        <v>222</v>
      </c>
      <c r="H92" s="18">
        <v>479</v>
      </c>
      <c r="I92" s="18">
        <v>2748</v>
      </c>
      <c r="J92" s="27">
        <v>24615</v>
      </c>
      <c r="K92" s="18">
        <v>74707</v>
      </c>
      <c r="L92" s="18" t="s">
        <v>17</v>
      </c>
    </row>
    <row r="93" spans="1:12" ht="15.75" thickBot="1" x14ac:dyDescent="0.3">
      <c r="A93" s="18" t="s">
        <v>117</v>
      </c>
      <c r="B93" s="18" t="s">
        <v>16</v>
      </c>
      <c r="C93" s="26" t="s">
        <v>442</v>
      </c>
      <c r="D93" s="18" t="s">
        <v>20</v>
      </c>
      <c r="E93" s="18" t="s">
        <v>398</v>
      </c>
      <c r="F93" s="18">
        <v>19715</v>
      </c>
      <c r="G93" s="18">
        <v>1014</v>
      </c>
      <c r="H93" s="18">
        <v>718</v>
      </c>
      <c r="I93" s="18">
        <v>1185</v>
      </c>
      <c r="J93" s="27">
        <v>37625</v>
      </c>
      <c r="K93" s="18">
        <v>191409</v>
      </c>
      <c r="L93" s="18" t="s">
        <v>14</v>
      </c>
    </row>
    <row r="94" spans="1:12" ht="15.75" thickBot="1" x14ac:dyDescent="0.3">
      <c r="A94" s="18" t="s">
        <v>118</v>
      </c>
      <c r="B94" s="18" t="s">
        <v>33</v>
      </c>
      <c r="C94" s="26" t="s">
        <v>468</v>
      </c>
      <c r="D94" s="18" t="s">
        <v>29</v>
      </c>
      <c r="E94" s="18" t="s">
        <v>409</v>
      </c>
      <c r="F94" s="18">
        <v>22645</v>
      </c>
      <c r="G94" s="18">
        <v>545</v>
      </c>
      <c r="H94" s="18">
        <v>972</v>
      </c>
      <c r="I94" s="18">
        <v>321</v>
      </c>
      <c r="J94" s="27">
        <v>8396</v>
      </c>
      <c r="K94" s="18">
        <v>121537</v>
      </c>
      <c r="L94" s="18" t="s">
        <v>37</v>
      </c>
    </row>
    <row r="95" spans="1:12" ht="15.75" thickBot="1" x14ac:dyDescent="0.3">
      <c r="A95" s="18" t="s">
        <v>119</v>
      </c>
      <c r="B95" s="18" t="s">
        <v>33</v>
      </c>
      <c r="C95" s="26" t="s">
        <v>458</v>
      </c>
      <c r="D95" s="18" t="s">
        <v>29</v>
      </c>
      <c r="E95" s="18" t="s">
        <v>409</v>
      </c>
      <c r="F95" s="18">
        <v>11550</v>
      </c>
      <c r="G95" s="18">
        <v>501</v>
      </c>
      <c r="H95" s="18">
        <v>646</v>
      </c>
      <c r="I95" s="18">
        <v>773</v>
      </c>
      <c r="J95" s="27">
        <v>17841</v>
      </c>
      <c r="K95" s="18">
        <v>237576</v>
      </c>
      <c r="L95" s="18" t="s">
        <v>24</v>
      </c>
    </row>
    <row r="96" spans="1:12" ht="15.75" thickBot="1" x14ac:dyDescent="0.3">
      <c r="A96" s="18" t="s">
        <v>120</v>
      </c>
      <c r="B96" s="18" t="s">
        <v>33</v>
      </c>
      <c r="C96" s="26" t="s">
        <v>469</v>
      </c>
      <c r="D96" s="18" t="s">
        <v>20</v>
      </c>
      <c r="E96" s="18" t="s">
        <v>402</v>
      </c>
      <c r="F96" s="18">
        <v>23499</v>
      </c>
      <c r="G96" s="18">
        <v>562</v>
      </c>
      <c r="H96" s="18">
        <v>964</v>
      </c>
      <c r="I96" s="18">
        <v>2557</v>
      </c>
      <c r="J96" s="27">
        <v>56890</v>
      </c>
      <c r="K96" s="18">
        <v>218686</v>
      </c>
      <c r="L96" s="18" t="s">
        <v>24</v>
      </c>
    </row>
    <row r="97" spans="1:12" ht="15.75" thickBot="1" x14ac:dyDescent="0.3">
      <c r="A97" s="18" t="s">
        <v>121</v>
      </c>
      <c r="B97" s="18" t="s">
        <v>33</v>
      </c>
      <c r="C97" s="26" t="s">
        <v>470</v>
      </c>
      <c r="D97" s="18" t="s">
        <v>29</v>
      </c>
      <c r="E97" s="18" t="s">
        <v>406</v>
      </c>
      <c r="F97" s="18">
        <v>6637</v>
      </c>
      <c r="G97" s="18">
        <v>595</v>
      </c>
      <c r="H97" s="18">
        <v>161</v>
      </c>
      <c r="I97" s="18">
        <v>2653</v>
      </c>
      <c r="J97" s="27">
        <v>19334</v>
      </c>
      <c r="K97" s="18">
        <v>131155</v>
      </c>
      <c r="L97" s="18" t="s">
        <v>21</v>
      </c>
    </row>
    <row r="98" spans="1:12" ht="15.75" thickBot="1" x14ac:dyDescent="0.3">
      <c r="A98" s="18" t="s">
        <v>122</v>
      </c>
      <c r="B98" s="18" t="s">
        <v>33</v>
      </c>
      <c r="C98" s="26" t="s">
        <v>471</v>
      </c>
      <c r="D98" s="18" t="s">
        <v>29</v>
      </c>
      <c r="E98" s="18" t="s">
        <v>459</v>
      </c>
      <c r="F98" s="18">
        <v>6854</v>
      </c>
      <c r="G98" s="18">
        <v>417</v>
      </c>
      <c r="H98" s="18">
        <v>467</v>
      </c>
      <c r="I98" s="18">
        <v>1003</v>
      </c>
      <c r="J98" s="27">
        <v>61333</v>
      </c>
      <c r="K98" s="18">
        <v>40281</v>
      </c>
      <c r="L98" s="18" t="s">
        <v>14</v>
      </c>
    </row>
    <row r="99" spans="1:12" ht="15.75" thickBot="1" x14ac:dyDescent="0.3">
      <c r="A99" s="18" t="s">
        <v>123</v>
      </c>
      <c r="B99" s="18" t="s">
        <v>16</v>
      </c>
      <c r="C99" s="26" t="s">
        <v>472</v>
      </c>
      <c r="D99" s="18" t="s">
        <v>23</v>
      </c>
      <c r="E99" s="18" t="s">
        <v>404</v>
      </c>
      <c r="F99" s="18">
        <v>21561</v>
      </c>
      <c r="G99" s="18">
        <v>340</v>
      </c>
      <c r="H99" s="18">
        <v>741</v>
      </c>
      <c r="I99" s="18">
        <v>986</v>
      </c>
      <c r="J99" s="27">
        <v>24826</v>
      </c>
      <c r="K99" s="18">
        <v>198492</v>
      </c>
      <c r="L99" s="18" t="s">
        <v>14</v>
      </c>
    </row>
    <row r="100" spans="1:12" ht="15.75" thickBot="1" x14ac:dyDescent="0.3">
      <c r="A100" s="18" t="s">
        <v>124</v>
      </c>
      <c r="B100" s="18" t="s">
        <v>33</v>
      </c>
      <c r="C100" s="26" t="s">
        <v>473</v>
      </c>
      <c r="D100" s="18" t="s">
        <v>29</v>
      </c>
      <c r="E100" s="18" t="s">
        <v>404</v>
      </c>
      <c r="F100" s="18">
        <v>12320</v>
      </c>
      <c r="G100" s="18">
        <v>1157</v>
      </c>
      <c r="H100" s="18">
        <v>365</v>
      </c>
      <c r="I100" s="18">
        <v>584</v>
      </c>
      <c r="J100" s="27">
        <v>66634</v>
      </c>
      <c r="K100" s="18">
        <v>210102</v>
      </c>
      <c r="L100" s="18" t="s">
        <v>24</v>
      </c>
    </row>
    <row r="101" spans="1:12" ht="15.75" thickBot="1" x14ac:dyDescent="0.3">
      <c r="A101" s="18" t="s">
        <v>125</v>
      </c>
      <c r="B101" s="18" t="s">
        <v>19</v>
      </c>
      <c r="C101" s="28">
        <v>45925</v>
      </c>
      <c r="D101" s="18" t="s">
        <v>13</v>
      </c>
      <c r="E101" s="18" t="s">
        <v>27</v>
      </c>
      <c r="F101" s="18">
        <v>20564</v>
      </c>
      <c r="G101" s="18">
        <v>1433</v>
      </c>
      <c r="H101" s="18">
        <v>488</v>
      </c>
      <c r="I101" s="18">
        <v>1015</v>
      </c>
      <c r="J101" s="27">
        <v>24333</v>
      </c>
      <c r="K101" s="18">
        <v>172130</v>
      </c>
      <c r="L101" s="18" t="s">
        <v>17</v>
      </c>
    </row>
    <row r="102" spans="1:12" ht="15.75" thickBot="1" x14ac:dyDescent="0.3">
      <c r="A102" s="18" t="s">
        <v>126</v>
      </c>
      <c r="B102" s="18" t="s">
        <v>12</v>
      </c>
      <c r="C102" s="26" t="s">
        <v>474</v>
      </c>
      <c r="D102" s="18" t="s">
        <v>29</v>
      </c>
      <c r="E102" s="18" t="s">
        <v>398</v>
      </c>
      <c r="F102" s="18">
        <v>6892</v>
      </c>
      <c r="G102" s="18">
        <v>1184</v>
      </c>
      <c r="H102" s="18">
        <v>925</v>
      </c>
      <c r="I102" s="18">
        <v>1062</v>
      </c>
      <c r="J102" s="27">
        <v>75008</v>
      </c>
      <c r="K102" s="18">
        <v>116260</v>
      </c>
      <c r="L102" s="18" t="s">
        <v>37</v>
      </c>
    </row>
    <row r="103" spans="1:12" ht="15.75" thickBot="1" x14ac:dyDescent="0.3">
      <c r="A103" s="18" t="s">
        <v>127</v>
      </c>
      <c r="B103" s="18" t="s">
        <v>33</v>
      </c>
      <c r="C103" s="28">
        <v>45926</v>
      </c>
      <c r="D103" s="18" t="s">
        <v>29</v>
      </c>
      <c r="E103" s="18" t="s">
        <v>27</v>
      </c>
      <c r="F103" s="18">
        <v>9043</v>
      </c>
      <c r="G103" s="18">
        <v>1192</v>
      </c>
      <c r="H103" s="18">
        <v>810</v>
      </c>
      <c r="I103" s="18">
        <v>1550</v>
      </c>
      <c r="J103" s="27">
        <v>5221</v>
      </c>
      <c r="K103" s="18">
        <v>199476</v>
      </c>
      <c r="L103" s="18" t="s">
        <v>17</v>
      </c>
    </row>
    <row r="104" spans="1:12" ht="15.75" thickBot="1" x14ac:dyDescent="0.3">
      <c r="A104" s="18" t="s">
        <v>128</v>
      </c>
      <c r="B104" s="18" t="s">
        <v>33</v>
      </c>
      <c r="C104" s="28">
        <v>45927</v>
      </c>
      <c r="D104" s="18" t="s">
        <v>20</v>
      </c>
      <c r="E104" s="18" t="s">
        <v>398</v>
      </c>
      <c r="F104" s="18">
        <v>18521</v>
      </c>
      <c r="G104" s="18">
        <v>1027</v>
      </c>
      <c r="H104" s="18">
        <v>230</v>
      </c>
      <c r="I104" s="18">
        <v>1247</v>
      </c>
      <c r="J104" s="27">
        <v>39588</v>
      </c>
      <c r="K104" s="18">
        <v>200928</v>
      </c>
      <c r="L104" s="18" t="s">
        <v>17</v>
      </c>
    </row>
    <row r="105" spans="1:12" ht="15.75" thickBot="1" x14ac:dyDescent="0.3">
      <c r="A105" s="18" t="s">
        <v>129</v>
      </c>
      <c r="B105" s="18" t="s">
        <v>16</v>
      </c>
      <c r="C105" s="26" t="s">
        <v>475</v>
      </c>
      <c r="D105" s="18" t="s">
        <v>13</v>
      </c>
      <c r="E105" s="18" t="s">
        <v>400</v>
      </c>
      <c r="F105" s="18">
        <v>24711</v>
      </c>
      <c r="G105" s="18">
        <v>882</v>
      </c>
      <c r="H105" s="18">
        <v>876</v>
      </c>
      <c r="I105" s="18">
        <v>2728</v>
      </c>
      <c r="J105" s="27">
        <v>32015</v>
      </c>
      <c r="K105" s="18">
        <v>180272</v>
      </c>
      <c r="L105" s="18" t="s">
        <v>24</v>
      </c>
    </row>
    <row r="106" spans="1:12" ht="15.75" thickBot="1" x14ac:dyDescent="0.3">
      <c r="A106" s="18" t="s">
        <v>130</v>
      </c>
      <c r="B106" s="18" t="s">
        <v>33</v>
      </c>
      <c r="C106" s="26" t="s">
        <v>476</v>
      </c>
      <c r="D106" s="18" t="s">
        <v>29</v>
      </c>
      <c r="E106" s="18" t="s">
        <v>409</v>
      </c>
      <c r="F106" s="18">
        <v>21856</v>
      </c>
      <c r="G106" s="18">
        <v>1203</v>
      </c>
      <c r="H106" s="18">
        <v>634</v>
      </c>
      <c r="I106" s="18">
        <v>2807</v>
      </c>
      <c r="J106" s="27">
        <v>3647</v>
      </c>
      <c r="K106" s="18">
        <v>104178</v>
      </c>
      <c r="L106" s="18" t="s">
        <v>24</v>
      </c>
    </row>
    <row r="107" spans="1:12" ht="15.75" thickBot="1" x14ac:dyDescent="0.3">
      <c r="A107" s="18" t="s">
        <v>131</v>
      </c>
      <c r="B107" s="18" t="s">
        <v>33</v>
      </c>
      <c r="C107" s="26" t="s">
        <v>477</v>
      </c>
      <c r="D107" s="18" t="s">
        <v>29</v>
      </c>
      <c r="E107" s="18" t="s">
        <v>406</v>
      </c>
      <c r="F107" s="18">
        <v>23833</v>
      </c>
      <c r="G107" s="18">
        <v>555</v>
      </c>
      <c r="H107" s="18">
        <v>523</v>
      </c>
      <c r="I107" s="18">
        <v>1330</v>
      </c>
      <c r="J107" s="27">
        <v>69141</v>
      </c>
      <c r="K107" s="18">
        <v>73997</v>
      </c>
      <c r="L107" s="18" t="s">
        <v>24</v>
      </c>
    </row>
    <row r="108" spans="1:12" ht="15.75" thickBot="1" x14ac:dyDescent="0.3">
      <c r="A108" s="18" t="s">
        <v>132</v>
      </c>
      <c r="B108" s="18" t="s">
        <v>33</v>
      </c>
      <c r="C108" s="26" t="s">
        <v>478</v>
      </c>
      <c r="D108" s="18" t="s">
        <v>23</v>
      </c>
      <c r="E108" s="18" t="s">
        <v>402</v>
      </c>
      <c r="F108" s="18">
        <v>21216</v>
      </c>
      <c r="G108" s="18">
        <v>1207</v>
      </c>
      <c r="H108" s="18">
        <v>859</v>
      </c>
      <c r="I108" s="18">
        <v>328</v>
      </c>
      <c r="J108" s="27">
        <v>91296</v>
      </c>
      <c r="K108" s="18">
        <v>196683</v>
      </c>
      <c r="L108" s="18" t="s">
        <v>21</v>
      </c>
    </row>
    <row r="109" spans="1:12" ht="15.75" thickBot="1" x14ac:dyDescent="0.3">
      <c r="A109" s="18" t="s">
        <v>133</v>
      </c>
      <c r="B109" s="18" t="s">
        <v>16</v>
      </c>
      <c r="C109" s="28">
        <v>45928</v>
      </c>
      <c r="D109" s="18" t="s">
        <v>29</v>
      </c>
      <c r="E109" s="18" t="s">
        <v>406</v>
      </c>
      <c r="F109" s="18">
        <v>21963</v>
      </c>
      <c r="G109" s="18">
        <v>1356</v>
      </c>
      <c r="H109" s="18">
        <v>349</v>
      </c>
      <c r="I109" s="18">
        <v>1206</v>
      </c>
      <c r="J109" s="27">
        <v>51755</v>
      </c>
      <c r="K109" s="18">
        <v>159273</v>
      </c>
      <c r="L109" s="18" t="s">
        <v>17</v>
      </c>
    </row>
    <row r="110" spans="1:12" ht="15.75" thickBot="1" x14ac:dyDescent="0.3">
      <c r="A110" s="18" t="s">
        <v>134</v>
      </c>
      <c r="B110" s="18" t="s">
        <v>33</v>
      </c>
      <c r="C110" s="26" t="s">
        <v>479</v>
      </c>
      <c r="D110" s="18" t="s">
        <v>29</v>
      </c>
      <c r="E110" s="18" t="s">
        <v>406</v>
      </c>
      <c r="F110" s="18">
        <v>24355</v>
      </c>
      <c r="G110" s="18">
        <v>1087</v>
      </c>
      <c r="H110" s="18">
        <v>686</v>
      </c>
      <c r="I110" s="18">
        <v>2426</v>
      </c>
      <c r="J110" s="27">
        <v>24963</v>
      </c>
      <c r="K110" s="18">
        <v>212307</v>
      </c>
      <c r="L110" s="18" t="s">
        <v>14</v>
      </c>
    </row>
    <row r="111" spans="1:12" ht="15.75" thickBot="1" x14ac:dyDescent="0.3">
      <c r="A111" s="18" t="s">
        <v>135</v>
      </c>
      <c r="B111" s="18" t="s">
        <v>12</v>
      </c>
      <c r="C111" s="26" t="s">
        <v>480</v>
      </c>
      <c r="D111" s="18" t="s">
        <v>23</v>
      </c>
      <c r="E111" s="18" t="s">
        <v>406</v>
      </c>
      <c r="F111" s="18">
        <v>6164</v>
      </c>
      <c r="G111" s="18">
        <v>326</v>
      </c>
      <c r="H111" s="18">
        <v>615</v>
      </c>
      <c r="I111" s="18">
        <v>2806</v>
      </c>
      <c r="J111" s="27">
        <v>38579</v>
      </c>
      <c r="K111" s="18">
        <v>206129</v>
      </c>
      <c r="L111" s="18" t="s">
        <v>37</v>
      </c>
    </row>
    <row r="112" spans="1:12" ht="15.75" thickBot="1" x14ac:dyDescent="0.3">
      <c r="A112" s="18" t="s">
        <v>136</v>
      </c>
      <c r="B112" s="18" t="s">
        <v>16</v>
      </c>
      <c r="C112" s="26" t="s">
        <v>481</v>
      </c>
      <c r="D112" s="18" t="s">
        <v>20</v>
      </c>
      <c r="E112" s="18" t="s">
        <v>27</v>
      </c>
      <c r="F112" s="18">
        <v>9941</v>
      </c>
      <c r="G112" s="18">
        <v>1329</v>
      </c>
      <c r="H112" s="18">
        <v>238</v>
      </c>
      <c r="I112" s="18">
        <v>869</v>
      </c>
      <c r="J112" s="27">
        <v>40281</v>
      </c>
      <c r="K112" s="18">
        <v>172311</v>
      </c>
      <c r="L112" s="18" t="s">
        <v>21</v>
      </c>
    </row>
    <row r="113" spans="1:12" ht="15.75" thickBot="1" x14ac:dyDescent="0.3">
      <c r="A113" s="18" t="s">
        <v>137</v>
      </c>
      <c r="B113" s="18" t="s">
        <v>12</v>
      </c>
      <c r="C113" s="26" t="s">
        <v>482</v>
      </c>
      <c r="D113" s="18" t="s">
        <v>29</v>
      </c>
      <c r="E113" s="18" t="s">
        <v>398</v>
      </c>
      <c r="F113" s="18">
        <v>16388</v>
      </c>
      <c r="G113" s="18">
        <v>1208</v>
      </c>
      <c r="H113" s="18">
        <v>417</v>
      </c>
      <c r="I113" s="18">
        <v>2306</v>
      </c>
      <c r="J113" s="27">
        <v>16865</v>
      </c>
      <c r="K113" s="18">
        <v>236733</v>
      </c>
      <c r="L113" s="18" t="s">
        <v>14</v>
      </c>
    </row>
    <row r="114" spans="1:12" ht="15.75" thickBot="1" x14ac:dyDescent="0.3">
      <c r="A114" s="18" t="s">
        <v>138</v>
      </c>
      <c r="B114" s="18" t="s">
        <v>16</v>
      </c>
      <c r="C114" s="28">
        <v>45929</v>
      </c>
      <c r="D114" s="18" t="s">
        <v>23</v>
      </c>
      <c r="E114" s="18" t="s">
        <v>419</v>
      </c>
      <c r="F114" s="18">
        <v>7569</v>
      </c>
      <c r="G114" s="18">
        <v>803</v>
      </c>
      <c r="H114" s="18">
        <v>804</v>
      </c>
      <c r="I114" s="18">
        <v>1753</v>
      </c>
      <c r="J114" s="27">
        <v>43582</v>
      </c>
      <c r="K114" s="18">
        <v>166945</v>
      </c>
      <c r="L114" s="18" t="s">
        <v>17</v>
      </c>
    </row>
    <row r="115" spans="1:12" ht="15.75" thickBot="1" x14ac:dyDescent="0.3">
      <c r="A115" s="18" t="s">
        <v>139</v>
      </c>
      <c r="B115" s="18" t="s">
        <v>33</v>
      </c>
      <c r="C115" s="26" t="s">
        <v>483</v>
      </c>
      <c r="D115" s="18" t="s">
        <v>13</v>
      </c>
      <c r="E115" s="18" t="s">
        <v>400</v>
      </c>
      <c r="F115" s="18">
        <v>6300</v>
      </c>
      <c r="G115" s="18">
        <v>1213</v>
      </c>
      <c r="H115" s="18">
        <v>720</v>
      </c>
      <c r="I115" s="18">
        <v>1037</v>
      </c>
      <c r="J115" s="27">
        <v>39569</v>
      </c>
      <c r="K115" s="18">
        <v>85272</v>
      </c>
      <c r="L115" s="18" t="s">
        <v>24</v>
      </c>
    </row>
    <row r="116" spans="1:12" ht="15.75" thickBot="1" x14ac:dyDescent="0.3">
      <c r="A116" s="18" t="s">
        <v>140</v>
      </c>
      <c r="B116" s="18" t="s">
        <v>12</v>
      </c>
      <c r="C116" s="28">
        <v>45930</v>
      </c>
      <c r="D116" s="18" t="s">
        <v>20</v>
      </c>
      <c r="E116" s="18" t="s">
        <v>397</v>
      </c>
      <c r="F116" s="18">
        <v>8269</v>
      </c>
      <c r="G116" s="18">
        <v>250</v>
      </c>
      <c r="H116" s="18">
        <v>638</v>
      </c>
      <c r="I116" s="18">
        <v>815</v>
      </c>
      <c r="J116" s="27">
        <v>41991</v>
      </c>
      <c r="K116" s="18">
        <v>129393</v>
      </c>
      <c r="L116" s="18" t="s">
        <v>17</v>
      </c>
    </row>
    <row r="117" spans="1:12" ht="15.75" thickBot="1" x14ac:dyDescent="0.3">
      <c r="A117" s="18" t="s">
        <v>141</v>
      </c>
      <c r="B117" s="18" t="s">
        <v>16</v>
      </c>
      <c r="C117" s="26" t="s">
        <v>484</v>
      </c>
      <c r="D117" s="18" t="s">
        <v>13</v>
      </c>
      <c r="E117" s="18" t="s">
        <v>406</v>
      </c>
      <c r="F117" s="18">
        <v>5818</v>
      </c>
      <c r="G117" s="18">
        <v>1252</v>
      </c>
      <c r="H117" s="18">
        <v>687</v>
      </c>
      <c r="I117" s="18">
        <v>2300</v>
      </c>
      <c r="J117" s="27">
        <v>25081</v>
      </c>
      <c r="K117" s="18">
        <v>101212</v>
      </c>
      <c r="L117" s="18" t="s">
        <v>37</v>
      </c>
    </row>
    <row r="118" spans="1:12" ht="15.75" thickBot="1" x14ac:dyDescent="0.3">
      <c r="A118" s="18" t="s">
        <v>142</v>
      </c>
      <c r="B118" s="18" t="s">
        <v>19</v>
      </c>
      <c r="C118" s="26" t="s">
        <v>485</v>
      </c>
      <c r="D118" s="18" t="s">
        <v>13</v>
      </c>
      <c r="E118" s="18" t="s">
        <v>415</v>
      </c>
      <c r="F118" s="18">
        <v>14015</v>
      </c>
      <c r="G118" s="18">
        <v>978</v>
      </c>
      <c r="H118" s="18">
        <v>196</v>
      </c>
      <c r="I118" s="18">
        <v>2744</v>
      </c>
      <c r="J118" s="27">
        <v>20190</v>
      </c>
      <c r="K118" s="18">
        <v>186470</v>
      </c>
      <c r="L118" s="18" t="s">
        <v>21</v>
      </c>
    </row>
    <row r="119" spans="1:12" ht="15.75" thickBot="1" x14ac:dyDescent="0.3">
      <c r="A119" s="18" t="s">
        <v>143</v>
      </c>
      <c r="B119" s="18" t="s">
        <v>33</v>
      </c>
      <c r="C119" s="26" t="s">
        <v>485</v>
      </c>
      <c r="D119" s="18" t="s">
        <v>23</v>
      </c>
      <c r="E119" s="18" t="s">
        <v>27</v>
      </c>
      <c r="F119" s="18">
        <v>14234</v>
      </c>
      <c r="G119" s="18">
        <v>1013</v>
      </c>
      <c r="H119" s="18">
        <v>437</v>
      </c>
      <c r="I119" s="18">
        <v>338</v>
      </c>
      <c r="J119" s="27">
        <v>67754</v>
      </c>
      <c r="K119" s="18">
        <v>160030</v>
      </c>
      <c r="L119" s="18" t="s">
        <v>21</v>
      </c>
    </row>
    <row r="120" spans="1:12" ht="15.75" thickBot="1" x14ac:dyDescent="0.3">
      <c r="A120" s="18" t="s">
        <v>144</v>
      </c>
      <c r="B120" s="18" t="s">
        <v>16</v>
      </c>
      <c r="C120" s="26" t="s">
        <v>486</v>
      </c>
      <c r="D120" s="18" t="s">
        <v>29</v>
      </c>
      <c r="E120" s="18" t="s">
        <v>459</v>
      </c>
      <c r="F120" s="18">
        <v>20290</v>
      </c>
      <c r="G120" s="18">
        <v>619</v>
      </c>
      <c r="H120" s="18">
        <v>927</v>
      </c>
      <c r="I120" s="18">
        <v>1186</v>
      </c>
      <c r="J120" s="27">
        <v>8924</v>
      </c>
      <c r="K120" s="18">
        <v>96503</v>
      </c>
      <c r="L120" s="18" t="s">
        <v>37</v>
      </c>
    </row>
    <row r="121" spans="1:12" ht="15.75" thickBot="1" x14ac:dyDescent="0.3">
      <c r="A121" s="18" t="s">
        <v>145</v>
      </c>
      <c r="B121" s="18" t="s">
        <v>19</v>
      </c>
      <c r="C121" s="26" t="s">
        <v>442</v>
      </c>
      <c r="D121" s="18" t="s">
        <v>23</v>
      </c>
      <c r="E121" s="18" t="s">
        <v>402</v>
      </c>
      <c r="F121" s="18">
        <v>8254</v>
      </c>
      <c r="G121" s="18">
        <v>1405</v>
      </c>
      <c r="H121" s="18">
        <v>165</v>
      </c>
      <c r="I121" s="18">
        <v>2504</v>
      </c>
      <c r="J121" s="27">
        <v>8081</v>
      </c>
      <c r="K121" s="18">
        <v>177710</v>
      </c>
      <c r="L121" s="18" t="s">
        <v>14</v>
      </c>
    </row>
    <row r="122" spans="1:12" ht="15.75" thickBot="1" x14ac:dyDescent="0.3">
      <c r="A122" s="18" t="s">
        <v>146</v>
      </c>
      <c r="B122" s="18" t="s">
        <v>16</v>
      </c>
      <c r="C122" s="26" t="s">
        <v>480</v>
      </c>
      <c r="D122" s="18" t="s">
        <v>23</v>
      </c>
      <c r="E122" s="18" t="s">
        <v>397</v>
      </c>
      <c r="F122" s="18">
        <v>19144</v>
      </c>
      <c r="G122" s="18">
        <v>1182</v>
      </c>
      <c r="H122" s="18">
        <v>860</v>
      </c>
      <c r="I122" s="18">
        <v>1398</v>
      </c>
      <c r="J122" s="27">
        <v>4185</v>
      </c>
      <c r="K122" s="18">
        <v>46570</v>
      </c>
      <c r="L122" s="18" t="s">
        <v>14</v>
      </c>
    </row>
    <row r="123" spans="1:12" ht="15.75" thickBot="1" x14ac:dyDescent="0.3">
      <c r="A123" s="18" t="s">
        <v>147</v>
      </c>
      <c r="B123" s="18" t="s">
        <v>19</v>
      </c>
      <c r="C123" s="26" t="s">
        <v>487</v>
      </c>
      <c r="D123" s="18" t="s">
        <v>23</v>
      </c>
      <c r="E123" s="18" t="s">
        <v>419</v>
      </c>
      <c r="F123" s="18">
        <v>9350</v>
      </c>
      <c r="G123" s="18">
        <v>1024</v>
      </c>
      <c r="H123" s="18">
        <v>550</v>
      </c>
      <c r="I123" s="18">
        <v>2123</v>
      </c>
      <c r="J123" s="27">
        <v>53916</v>
      </c>
      <c r="K123" s="18">
        <v>108785</v>
      </c>
      <c r="L123" s="18" t="s">
        <v>21</v>
      </c>
    </row>
    <row r="124" spans="1:12" ht="15.75" thickBot="1" x14ac:dyDescent="0.3">
      <c r="A124" s="18" t="s">
        <v>148</v>
      </c>
      <c r="B124" s="18" t="s">
        <v>33</v>
      </c>
      <c r="C124" s="26" t="s">
        <v>476</v>
      </c>
      <c r="D124" s="18" t="s">
        <v>23</v>
      </c>
      <c r="E124" s="18" t="s">
        <v>415</v>
      </c>
      <c r="F124" s="18">
        <v>17183</v>
      </c>
      <c r="G124" s="18">
        <v>1224</v>
      </c>
      <c r="H124" s="18">
        <v>943</v>
      </c>
      <c r="I124" s="18">
        <v>2010</v>
      </c>
      <c r="J124" s="27">
        <v>21481</v>
      </c>
      <c r="K124" s="18">
        <v>49110</v>
      </c>
      <c r="L124" s="18" t="s">
        <v>21</v>
      </c>
    </row>
    <row r="125" spans="1:12" ht="15.75" thickBot="1" x14ac:dyDescent="0.3">
      <c r="A125" s="18" t="s">
        <v>149</v>
      </c>
      <c r="B125" s="18" t="s">
        <v>12</v>
      </c>
      <c r="C125" s="26" t="s">
        <v>488</v>
      </c>
      <c r="D125" s="18" t="s">
        <v>20</v>
      </c>
      <c r="E125" s="18" t="s">
        <v>419</v>
      </c>
      <c r="F125" s="18">
        <v>8238</v>
      </c>
      <c r="G125" s="18">
        <v>766</v>
      </c>
      <c r="H125" s="18">
        <v>235</v>
      </c>
      <c r="I125" s="18">
        <v>1273</v>
      </c>
      <c r="J125" s="27">
        <v>4706</v>
      </c>
      <c r="K125" s="18">
        <v>119141</v>
      </c>
      <c r="L125" s="18" t="s">
        <v>24</v>
      </c>
    </row>
    <row r="126" spans="1:12" ht="15.75" thickBot="1" x14ac:dyDescent="0.3">
      <c r="A126" s="18" t="s">
        <v>150</v>
      </c>
      <c r="B126" s="18" t="s">
        <v>19</v>
      </c>
      <c r="C126" s="26" t="s">
        <v>489</v>
      </c>
      <c r="D126" s="18" t="s">
        <v>29</v>
      </c>
      <c r="E126" s="18" t="s">
        <v>397</v>
      </c>
      <c r="F126" s="18">
        <v>8090</v>
      </c>
      <c r="G126" s="18">
        <v>570</v>
      </c>
      <c r="H126" s="18">
        <v>399</v>
      </c>
      <c r="I126" s="18">
        <v>1862</v>
      </c>
      <c r="J126" s="27">
        <v>34088</v>
      </c>
      <c r="K126" s="18">
        <v>52115</v>
      </c>
      <c r="L126" s="18" t="s">
        <v>14</v>
      </c>
    </row>
    <row r="127" spans="1:12" ht="15.75" thickBot="1" x14ac:dyDescent="0.3">
      <c r="A127" s="18" t="s">
        <v>151</v>
      </c>
      <c r="B127" s="18" t="s">
        <v>16</v>
      </c>
      <c r="C127" s="26" t="s">
        <v>448</v>
      </c>
      <c r="D127" s="18" t="s">
        <v>13</v>
      </c>
      <c r="E127" s="18" t="s">
        <v>406</v>
      </c>
      <c r="F127" s="18">
        <v>13637</v>
      </c>
      <c r="G127" s="18">
        <v>1135</v>
      </c>
      <c r="H127" s="18">
        <v>540</v>
      </c>
      <c r="I127" s="18">
        <v>1288</v>
      </c>
      <c r="J127" s="27">
        <v>45183</v>
      </c>
      <c r="K127" s="18">
        <v>79062</v>
      </c>
      <c r="L127" s="18" t="s">
        <v>37</v>
      </c>
    </row>
    <row r="128" spans="1:12" ht="15.75" thickBot="1" x14ac:dyDescent="0.3">
      <c r="A128" s="18" t="s">
        <v>152</v>
      </c>
      <c r="B128" s="18" t="s">
        <v>33</v>
      </c>
      <c r="C128" s="26" t="s">
        <v>464</v>
      </c>
      <c r="D128" s="18" t="s">
        <v>13</v>
      </c>
      <c r="E128" s="18" t="s">
        <v>415</v>
      </c>
      <c r="F128" s="18">
        <v>24415</v>
      </c>
      <c r="G128" s="18">
        <v>860</v>
      </c>
      <c r="H128" s="18">
        <v>931</v>
      </c>
      <c r="I128" s="18">
        <v>320</v>
      </c>
      <c r="J128" s="27">
        <v>65049</v>
      </c>
      <c r="K128" s="18">
        <v>62911</v>
      </c>
      <c r="L128" s="18" t="s">
        <v>14</v>
      </c>
    </row>
    <row r="129" spans="1:12" ht="15.75" thickBot="1" x14ac:dyDescent="0.3">
      <c r="A129" s="18" t="s">
        <v>153</v>
      </c>
      <c r="B129" s="18" t="s">
        <v>19</v>
      </c>
      <c r="C129" s="26" t="s">
        <v>490</v>
      </c>
      <c r="D129" s="18" t="s">
        <v>29</v>
      </c>
      <c r="E129" s="18" t="s">
        <v>419</v>
      </c>
      <c r="F129" s="18">
        <v>14647</v>
      </c>
      <c r="G129" s="18">
        <v>1168</v>
      </c>
      <c r="H129" s="18">
        <v>484</v>
      </c>
      <c r="I129" s="18">
        <v>2650</v>
      </c>
      <c r="J129" s="27">
        <v>27217</v>
      </c>
      <c r="K129" s="18">
        <v>144061</v>
      </c>
      <c r="L129" s="18" t="s">
        <v>24</v>
      </c>
    </row>
    <row r="130" spans="1:12" ht="15.75" thickBot="1" x14ac:dyDescent="0.3">
      <c r="A130" s="18" t="s">
        <v>154</v>
      </c>
      <c r="B130" s="18" t="s">
        <v>16</v>
      </c>
      <c r="C130" s="26" t="s">
        <v>411</v>
      </c>
      <c r="D130" s="18" t="s">
        <v>13</v>
      </c>
      <c r="E130" s="18" t="s">
        <v>402</v>
      </c>
      <c r="F130" s="18">
        <v>11911</v>
      </c>
      <c r="G130" s="18">
        <v>1360</v>
      </c>
      <c r="H130" s="18">
        <v>778</v>
      </c>
      <c r="I130" s="18">
        <v>1168</v>
      </c>
      <c r="J130" s="27">
        <v>16483</v>
      </c>
      <c r="K130" s="18">
        <v>72556</v>
      </c>
      <c r="L130" s="18" t="s">
        <v>21</v>
      </c>
    </row>
    <row r="131" spans="1:12" ht="15.75" thickBot="1" x14ac:dyDescent="0.3">
      <c r="A131" s="18" t="s">
        <v>155</v>
      </c>
      <c r="B131" s="18" t="s">
        <v>16</v>
      </c>
      <c r="C131" s="26" t="s">
        <v>491</v>
      </c>
      <c r="D131" s="18" t="s">
        <v>29</v>
      </c>
      <c r="E131" s="18" t="s">
        <v>398</v>
      </c>
      <c r="F131" s="18">
        <v>10472</v>
      </c>
      <c r="G131" s="18">
        <v>401</v>
      </c>
      <c r="H131" s="18">
        <v>668</v>
      </c>
      <c r="I131" s="18">
        <v>383</v>
      </c>
      <c r="J131" s="27">
        <v>37571</v>
      </c>
      <c r="K131" s="18">
        <v>249203</v>
      </c>
      <c r="L131" s="18" t="s">
        <v>21</v>
      </c>
    </row>
    <row r="132" spans="1:12" ht="15.75" thickBot="1" x14ac:dyDescent="0.3">
      <c r="A132" s="18" t="s">
        <v>156</v>
      </c>
      <c r="B132" s="18" t="s">
        <v>16</v>
      </c>
      <c r="C132" s="26" t="s">
        <v>442</v>
      </c>
      <c r="D132" s="18" t="s">
        <v>13</v>
      </c>
      <c r="E132" s="18" t="s">
        <v>409</v>
      </c>
      <c r="F132" s="18">
        <v>20271</v>
      </c>
      <c r="G132" s="18">
        <v>512</v>
      </c>
      <c r="H132" s="18">
        <v>286</v>
      </c>
      <c r="I132" s="18">
        <v>1982</v>
      </c>
      <c r="J132" s="27">
        <v>43225</v>
      </c>
      <c r="K132" s="18">
        <v>168335</v>
      </c>
      <c r="L132" s="18" t="s">
        <v>24</v>
      </c>
    </row>
    <row r="133" spans="1:12" ht="15.75" thickBot="1" x14ac:dyDescent="0.3">
      <c r="A133" s="18" t="s">
        <v>157</v>
      </c>
      <c r="B133" s="18" t="s">
        <v>19</v>
      </c>
      <c r="C133" s="26" t="s">
        <v>425</v>
      </c>
      <c r="D133" s="18" t="s">
        <v>23</v>
      </c>
      <c r="E133" s="18" t="s">
        <v>398</v>
      </c>
      <c r="F133" s="18">
        <v>5266</v>
      </c>
      <c r="G133" s="18">
        <v>316</v>
      </c>
      <c r="H133" s="18">
        <v>837</v>
      </c>
      <c r="I133" s="18">
        <v>2276</v>
      </c>
      <c r="J133" s="27">
        <v>20967</v>
      </c>
      <c r="K133" s="18">
        <v>41969</v>
      </c>
      <c r="L133" s="18" t="s">
        <v>37</v>
      </c>
    </row>
    <row r="134" spans="1:12" ht="15.75" thickBot="1" x14ac:dyDescent="0.3">
      <c r="A134" s="18" t="s">
        <v>158</v>
      </c>
      <c r="B134" s="18" t="s">
        <v>19</v>
      </c>
      <c r="C134" s="26" t="s">
        <v>492</v>
      </c>
      <c r="D134" s="18" t="s">
        <v>13</v>
      </c>
      <c r="E134" s="18" t="s">
        <v>397</v>
      </c>
      <c r="F134" s="18">
        <v>2666</v>
      </c>
      <c r="G134" s="18">
        <v>1136</v>
      </c>
      <c r="H134" s="18">
        <v>989</v>
      </c>
      <c r="I134" s="18">
        <v>1710</v>
      </c>
      <c r="J134" s="27">
        <v>36467</v>
      </c>
      <c r="K134" s="18">
        <v>83753</v>
      </c>
      <c r="L134" s="18" t="s">
        <v>21</v>
      </c>
    </row>
    <row r="135" spans="1:12" ht="15.75" thickBot="1" x14ac:dyDescent="0.3">
      <c r="A135" s="18" t="s">
        <v>159</v>
      </c>
      <c r="B135" s="18" t="s">
        <v>19</v>
      </c>
      <c r="C135" s="28">
        <v>45931</v>
      </c>
      <c r="D135" s="18" t="s">
        <v>29</v>
      </c>
      <c r="E135" s="18" t="s">
        <v>27</v>
      </c>
      <c r="F135" s="18">
        <v>6188</v>
      </c>
      <c r="G135" s="18">
        <v>774</v>
      </c>
      <c r="H135" s="18">
        <v>647</v>
      </c>
      <c r="I135" s="18">
        <v>1830</v>
      </c>
      <c r="J135" s="27">
        <v>55436</v>
      </c>
      <c r="K135" s="18">
        <v>175542</v>
      </c>
      <c r="L135" s="18" t="s">
        <v>17</v>
      </c>
    </row>
    <row r="136" spans="1:12" ht="15.75" thickBot="1" x14ac:dyDescent="0.3">
      <c r="A136" s="18" t="s">
        <v>160</v>
      </c>
      <c r="B136" s="18" t="s">
        <v>12</v>
      </c>
      <c r="C136" s="26" t="s">
        <v>493</v>
      </c>
      <c r="D136" s="18" t="s">
        <v>29</v>
      </c>
      <c r="E136" s="18" t="s">
        <v>409</v>
      </c>
      <c r="F136" s="18">
        <v>19055</v>
      </c>
      <c r="G136" s="18">
        <v>443</v>
      </c>
      <c r="H136" s="18">
        <v>976</v>
      </c>
      <c r="I136" s="18">
        <v>869</v>
      </c>
      <c r="J136" s="27">
        <v>75437</v>
      </c>
      <c r="K136" s="18">
        <v>161863</v>
      </c>
      <c r="L136" s="18" t="s">
        <v>21</v>
      </c>
    </row>
    <row r="137" spans="1:12" ht="15.75" thickBot="1" x14ac:dyDescent="0.3">
      <c r="A137" s="18" t="s">
        <v>161</v>
      </c>
      <c r="B137" s="18" t="s">
        <v>19</v>
      </c>
      <c r="C137" s="28">
        <v>45932</v>
      </c>
      <c r="D137" s="18" t="s">
        <v>29</v>
      </c>
      <c r="E137" s="18" t="s">
        <v>400</v>
      </c>
      <c r="F137" s="18">
        <v>12161</v>
      </c>
      <c r="G137" s="18">
        <v>736</v>
      </c>
      <c r="H137" s="18">
        <v>876</v>
      </c>
      <c r="I137" s="18">
        <v>1233</v>
      </c>
      <c r="J137" s="27">
        <v>21337</v>
      </c>
      <c r="K137" s="18">
        <v>50225</v>
      </c>
      <c r="L137" s="18" t="s">
        <v>17</v>
      </c>
    </row>
    <row r="138" spans="1:12" ht="15.75" thickBot="1" x14ac:dyDescent="0.3">
      <c r="A138" s="18" t="s">
        <v>162</v>
      </c>
      <c r="B138" s="18" t="s">
        <v>19</v>
      </c>
      <c r="C138" s="26" t="s">
        <v>428</v>
      </c>
      <c r="D138" s="18" t="s">
        <v>29</v>
      </c>
      <c r="E138" s="18" t="s">
        <v>402</v>
      </c>
      <c r="F138" s="18">
        <v>13314</v>
      </c>
      <c r="G138" s="18">
        <v>274</v>
      </c>
      <c r="H138" s="18">
        <v>626</v>
      </c>
      <c r="I138" s="18">
        <v>2280</v>
      </c>
      <c r="J138" s="27">
        <v>14639</v>
      </c>
      <c r="K138" s="18">
        <v>163008</v>
      </c>
      <c r="L138" s="18" t="s">
        <v>24</v>
      </c>
    </row>
    <row r="139" spans="1:12" ht="15.75" thickBot="1" x14ac:dyDescent="0.3">
      <c r="A139" s="18" t="s">
        <v>163</v>
      </c>
      <c r="B139" s="18" t="s">
        <v>19</v>
      </c>
      <c r="C139" s="26" t="s">
        <v>450</v>
      </c>
      <c r="D139" s="18" t="s">
        <v>29</v>
      </c>
      <c r="E139" s="18" t="s">
        <v>400</v>
      </c>
      <c r="F139" s="18">
        <v>23508</v>
      </c>
      <c r="G139" s="18">
        <v>585</v>
      </c>
      <c r="H139" s="18">
        <v>743</v>
      </c>
      <c r="I139" s="18">
        <v>2155</v>
      </c>
      <c r="J139" s="27">
        <v>3704</v>
      </c>
      <c r="K139" s="18">
        <v>194268</v>
      </c>
      <c r="L139" s="18" t="s">
        <v>24</v>
      </c>
    </row>
    <row r="140" spans="1:12" ht="15.75" thickBot="1" x14ac:dyDescent="0.3">
      <c r="A140" s="18" t="s">
        <v>164</v>
      </c>
      <c r="B140" s="18" t="s">
        <v>12</v>
      </c>
      <c r="C140" s="26" t="s">
        <v>494</v>
      </c>
      <c r="D140" s="18" t="s">
        <v>20</v>
      </c>
      <c r="E140" s="18" t="s">
        <v>415</v>
      </c>
      <c r="F140" s="18">
        <v>23969</v>
      </c>
      <c r="G140" s="18">
        <v>1433</v>
      </c>
      <c r="H140" s="18">
        <v>372</v>
      </c>
      <c r="I140" s="18">
        <v>1092</v>
      </c>
      <c r="J140" s="27">
        <v>32147</v>
      </c>
      <c r="K140" s="18">
        <v>145823</v>
      </c>
      <c r="L140" s="18" t="s">
        <v>21</v>
      </c>
    </row>
    <row r="141" spans="1:12" ht="15.75" thickBot="1" x14ac:dyDescent="0.3">
      <c r="A141" s="18" t="s">
        <v>165</v>
      </c>
      <c r="B141" s="18" t="s">
        <v>19</v>
      </c>
      <c r="C141" s="26" t="s">
        <v>495</v>
      </c>
      <c r="D141" s="18" t="s">
        <v>20</v>
      </c>
      <c r="E141" s="18" t="s">
        <v>404</v>
      </c>
      <c r="F141" s="18">
        <v>14891</v>
      </c>
      <c r="G141" s="18">
        <v>674</v>
      </c>
      <c r="H141" s="18">
        <v>521</v>
      </c>
      <c r="I141" s="18">
        <v>1091</v>
      </c>
      <c r="J141" s="27">
        <v>18101</v>
      </c>
      <c r="K141" s="18">
        <v>53669</v>
      </c>
      <c r="L141" s="18" t="s">
        <v>14</v>
      </c>
    </row>
    <row r="142" spans="1:12" ht="15.75" thickBot="1" x14ac:dyDescent="0.3">
      <c r="A142" s="18" t="s">
        <v>166</v>
      </c>
      <c r="B142" s="18" t="s">
        <v>16</v>
      </c>
      <c r="C142" s="28">
        <v>45933</v>
      </c>
      <c r="D142" s="18" t="s">
        <v>13</v>
      </c>
      <c r="E142" s="18" t="s">
        <v>409</v>
      </c>
      <c r="F142" s="18">
        <v>6777</v>
      </c>
      <c r="G142" s="18">
        <v>617</v>
      </c>
      <c r="H142" s="18">
        <v>551</v>
      </c>
      <c r="I142" s="18">
        <v>2109</v>
      </c>
      <c r="J142" s="27">
        <v>18559</v>
      </c>
      <c r="K142" s="18">
        <v>208452</v>
      </c>
      <c r="L142" s="18" t="s">
        <v>17</v>
      </c>
    </row>
    <row r="143" spans="1:12" ht="15.75" thickBot="1" x14ac:dyDescent="0.3">
      <c r="A143" s="18" t="s">
        <v>167</v>
      </c>
      <c r="B143" s="18" t="s">
        <v>19</v>
      </c>
      <c r="C143" s="26" t="s">
        <v>496</v>
      </c>
      <c r="D143" s="18" t="s">
        <v>29</v>
      </c>
      <c r="E143" s="18" t="s">
        <v>400</v>
      </c>
      <c r="F143" s="18">
        <v>5900</v>
      </c>
      <c r="G143" s="18">
        <v>546</v>
      </c>
      <c r="H143" s="18">
        <v>592</v>
      </c>
      <c r="I143" s="18">
        <v>1594</v>
      </c>
      <c r="J143" s="27">
        <v>38627</v>
      </c>
      <c r="K143" s="18">
        <v>164398</v>
      </c>
      <c r="L143" s="18" t="s">
        <v>37</v>
      </c>
    </row>
    <row r="144" spans="1:12" ht="15.75" thickBot="1" x14ac:dyDescent="0.3">
      <c r="A144" s="18" t="s">
        <v>168</v>
      </c>
      <c r="B144" s="18" t="s">
        <v>16</v>
      </c>
      <c r="C144" s="26" t="s">
        <v>487</v>
      </c>
      <c r="D144" s="18" t="s">
        <v>13</v>
      </c>
      <c r="E144" s="18" t="s">
        <v>400</v>
      </c>
      <c r="F144" s="18">
        <v>15716</v>
      </c>
      <c r="G144" s="18">
        <v>839</v>
      </c>
      <c r="H144" s="18">
        <v>639</v>
      </c>
      <c r="I144" s="18">
        <v>2839</v>
      </c>
      <c r="J144" s="27">
        <v>349</v>
      </c>
      <c r="K144" s="18">
        <v>150677</v>
      </c>
      <c r="L144" s="18" t="s">
        <v>21</v>
      </c>
    </row>
    <row r="145" spans="1:12" ht="15.75" thickBot="1" x14ac:dyDescent="0.3">
      <c r="A145" s="18" t="s">
        <v>169</v>
      </c>
      <c r="B145" s="18" t="s">
        <v>16</v>
      </c>
      <c r="C145" s="26" t="s">
        <v>456</v>
      </c>
      <c r="D145" s="18" t="s">
        <v>29</v>
      </c>
      <c r="E145" s="18" t="s">
        <v>419</v>
      </c>
      <c r="F145" s="18">
        <v>8981</v>
      </c>
      <c r="G145" s="18">
        <v>1138</v>
      </c>
      <c r="H145" s="18">
        <v>764</v>
      </c>
      <c r="I145" s="18">
        <v>2555</v>
      </c>
      <c r="J145" s="27">
        <v>92810</v>
      </c>
      <c r="K145" s="18">
        <v>88320</v>
      </c>
      <c r="L145" s="18" t="s">
        <v>37</v>
      </c>
    </row>
    <row r="146" spans="1:12" ht="15.75" thickBot="1" x14ac:dyDescent="0.3">
      <c r="A146" s="18" t="s">
        <v>170</v>
      </c>
      <c r="B146" s="18" t="s">
        <v>16</v>
      </c>
      <c r="C146" s="26" t="s">
        <v>401</v>
      </c>
      <c r="D146" s="18" t="s">
        <v>29</v>
      </c>
      <c r="E146" s="18" t="s">
        <v>398</v>
      </c>
      <c r="F146" s="18">
        <v>8376</v>
      </c>
      <c r="G146" s="18">
        <v>1154</v>
      </c>
      <c r="H146" s="18">
        <v>422</v>
      </c>
      <c r="I146" s="18">
        <v>1907</v>
      </c>
      <c r="J146" s="27">
        <v>36874</v>
      </c>
      <c r="K146" s="18">
        <v>218486</v>
      </c>
      <c r="L146" s="18" t="s">
        <v>21</v>
      </c>
    </row>
    <row r="147" spans="1:12" ht="15.75" thickBot="1" x14ac:dyDescent="0.3">
      <c r="A147" s="18" t="s">
        <v>171</v>
      </c>
      <c r="B147" s="18" t="s">
        <v>12</v>
      </c>
      <c r="C147" s="26" t="s">
        <v>497</v>
      </c>
      <c r="D147" s="18" t="s">
        <v>20</v>
      </c>
      <c r="E147" s="18" t="s">
        <v>419</v>
      </c>
      <c r="F147" s="18">
        <v>18907</v>
      </c>
      <c r="G147" s="18">
        <v>1075</v>
      </c>
      <c r="H147" s="18">
        <v>675</v>
      </c>
      <c r="I147" s="18">
        <v>1383</v>
      </c>
      <c r="J147" s="27">
        <v>17875</v>
      </c>
      <c r="K147" s="18">
        <v>186649</v>
      </c>
      <c r="L147" s="18" t="s">
        <v>14</v>
      </c>
    </row>
    <row r="148" spans="1:12" ht="15.75" thickBot="1" x14ac:dyDescent="0.3">
      <c r="A148" s="18" t="s">
        <v>172</v>
      </c>
      <c r="B148" s="18" t="s">
        <v>12</v>
      </c>
      <c r="C148" s="26" t="s">
        <v>442</v>
      </c>
      <c r="D148" s="18" t="s">
        <v>20</v>
      </c>
      <c r="E148" s="18" t="s">
        <v>409</v>
      </c>
      <c r="F148" s="18">
        <v>20777</v>
      </c>
      <c r="G148" s="18">
        <v>962</v>
      </c>
      <c r="H148" s="18">
        <v>308</v>
      </c>
      <c r="I148" s="18">
        <v>2777</v>
      </c>
      <c r="J148" s="27">
        <v>25529</v>
      </c>
      <c r="K148" s="18">
        <v>165354</v>
      </c>
      <c r="L148" s="18" t="s">
        <v>14</v>
      </c>
    </row>
    <row r="149" spans="1:12" ht="15.75" thickBot="1" x14ac:dyDescent="0.3">
      <c r="A149" s="18" t="s">
        <v>173</v>
      </c>
      <c r="B149" s="18" t="s">
        <v>12</v>
      </c>
      <c r="C149" s="26" t="s">
        <v>443</v>
      </c>
      <c r="D149" s="18" t="s">
        <v>23</v>
      </c>
      <c r="E149" s="18" t="s">
        <v>409</v>
      </c>
      <c r="F149" s="18">
        <v>20977</v>
      </c>
      <c r="G149" s="18">
        <v>1402</v>
      </c>
      <c r="H149" s="18">
        <v>301</v>
      </c>
      <c r="I149" s="18">
        <v>1284</v>
      </c>
      <c r="J149" s="27">
        <v>24620</v>
      </c>
      <c r="K149" s="18">
        <v>128009</v>
      </c>
      <c r="L149" s="18" t="s">
        <v>14</v>
      </c>
    </row>
    <row r="150" spans="1:12" ht="15.75" thickBot="1" x14ac:dyDescent="0.3">
      <c r="A150" s="18" t="s">
        <v>174</v>
      </c>
      <c r="B150" s="18" t="s">
        <v>19</v>
      </c>
      <c r="C150" s="26" t="s">
        <v>498</v>
      </c>
      <c r="D150" s="18" t="s">
        <v>20</v>
      </c>
      <c r="E150" s="18" t="s">
        <v>397</v>
      </c>
      <c r="F150" s="18">
        <v>12160</v>
      </c>
      <c r="G150" s="18">
        <v>1405</v>
      </c>
      <c r="H150" s="18">
        <v>769</v>
      </c>
      <c r="I150" s="18">
        <v>1980</v>
      </c>
      <c r="J150" s="27">
        <v>33174</v>
      </c>
      <c r="K150" s="18">
        <v>226481</v>
      </c>
      <c r="L150" s="18" t="s">
        <v>14</v>
      </c>
    </row>
    <row r="151" spans="1:12" ht="15.75" thickBot="1" x14ac:dyDescent="0.3">
      <c r="A151" s="18" t="s">
        <v>175</v>
      </c>
      <c r="B151" s="18" t="s">
        <v>16</v>
      </c>
      <c r="C151" s="26" t="s">
        <v>499</v>
      </c>
      <c r="D151" s="18" t="s">
        <v>23</v>
      </c>
      <c r="E151" s="18" t="s">
        <v>419</v>
      </c>
      <c r="F151" s="18">
        <v>16124</v>
      </c>
      <c r="G151" s="18">
        <v>863</v>
      </c>
      <c r="H151" s="18">
        <v>337</v>
      </c>
      <c r="I151" s="18">
        <v>819</v>
      </c>
      <c r="J151" s="27">
        <v>85788</v>
      </c>
      <c r="K151" s="18">
        <v>68625</v>
      </c>
      <c r="L151" s="18" t="s">
        <v>24</v>
      </c>
    </row>
    <row r="152" spans="1:12" ht="15.75" thickBot="1" x14ac:dyDescent="0.3">
      <c r="A152" s="18" t="s">
        <v>176</v>
      </c>
      <c r="B152" s="18" t="s">
        <v>12</v>
      </c>
      <c r="C152" s="26" t="s">
        <v>449</v>
      </c>
      <c r="D152" s="18" t="s">
        <v>23</v>
      </c>
      <c r="E152" s="18" t="s">
        <v>54</v>
      </c>
      <c r="F152" s="18">
        <v>18282</v>
      </c>
      <c r="G152" s="18">
        <v>224</v>
      </c>
      <c r="H152" s="18">
        <v>962</v>
      </c>
      <c r="I152" s="18">
        <v>890</v>
      </c>
      <c r="J152" s="27">
        <v>35105</v>
      </c>
      <c r="K152" s="18">
        <v>64089</v>
      </c>
      <c r="L152" s="18" t="s">
        <v>24</v>
      </c>
    </row>
    <row r="153" spans="1:12" ht="15.75" thickBot="1" x14ac:dyDescent="0.3">
      <c r="A153" s="18" t="s">
        <v>177</v>
      </c>
      <c r="B153" s="18" t="s">
        <v>12</v>
      </c>
      <c r="C153" s="28">
        <v>45934</v>
      </c>
      <c r="D153" s="18" t="s">
        <v>23</v>
      </c>
      <c r="E153" s="18" t="s">
        <v>459</v>
      </c>
      <c r="F153" s="18">
        <v>12488</v>
      </c>
      <c r="G153" s="18">
        <v>1403</v>
      </c>
      <c r="H153" s="18">
        <v>247</v>
      </c>
      <c r="I153" s="18">
        <v>1350</v>
      </c>
      <c r="J153" s="27">
        <v>28370</v>
      </c>
      <c r="K153" s="18">
        <v>76487</v>
      </c>
      <c r="L153" s="18" t="s">
        <v>17</v>
      </c>
    </row>
    <row r="154" spans="1:12" ht="15.75" thickBot="1" x14ac:dyDescent="0.3">
      <c r="A154" s="18" t="s">
        <v>178</v>
      </c>
      <c r="B154" s="18" t="s">
        <v>19</v>
      </c>
      <c r="C154" s="26" t="s">
        <v>500</v>
      </c>
      <c r="D154" s="18" t="s">
        <v>23</v>
      </c>
      <c r="E154" s="18" t="s">
        <v>398</v>
      </c>
      <c r="F154" s="18">
        <v>24574</v>
      </c>
      <c r="G154" s="18">
        <v>909</v>
      </c>
      <c r="H154" s="18">
        <v>280</v>
      </c>
      <c r="I154" s="18">
        <v>2009</v>
      </c>
      <c r="J154" s="27">
        <v>6221</v>
      </c>
      <c r="K154" s="18">
        <v>236910</v>
      </c>
      <c r="L154" s="18" t="s">
        <v>37</v>
      </c>
    </row>
    <row r="155" spans="1:12" ht="15.75" thickBot="1" x14ac:dyDescent="0.3">
      <c r="A155" s="18" t="s">
        <v>179</v>
      </c>
      <c r="B155" s="18" t="s">
        <v>12</v>
      </c>
      <c r="C155" s="26" t="s">
        <v>501</v>
      </c>
      <c r="D155" s="18" t="s">
        <v>23</v>
      </c>
      <c r="E155" s="18" t="s">
        <v>409</v>
      </c>
      <c r="F155" s="18">
        <v>7240</v>
      </c>
      <c r="G155" s="18">
        <v>1384</v>
      </c>
      <c r="H155" s="18">
        <v>954</v>
      </c>
      <c r="I155" s="18">
        <v>2335</v>
      </c>
      <c r="J155" s="27">
        <v>6757</v>
      </c>
      <c r="K155" s="18">
        <v>150448</v>
      </c>
      <c r="L155" s="18" t="s">
        <v>21</v>
      </c>
    </row>
    <row r="156" spans="1:12" ht="15.75" thickBot="1" x14ac:dyDescent="0.3">
      <c r="A156" s="18" t="s">
        <v>180</v>
      </c>
      <c r="B156" s="18" t="s">
        <v>19</v>
      </c>
      <c r="C156" s="26" t="s">
        <v>502</v>
      </c>
      <c r="D156" s="18" t="s">
        <v>13</v>
      </c>
      <c r="E156" s="18" t="s">
        <v>397</v>
      </c>
      <c r="F156" s="18">
        <v>12453</v>
      </c>
      <c r="G156" s="18">
        <v>376</v>
      </c>
      <c r="H156" s="18">
        <v>320</v>
      </c>
      <c r="I156" s="18">
        <v>2546</v>
      </c>
      <c r="J156" s="27">
        <v>22617</v>
      </c>
      <c r="K156" s="18">
        <v>90138</v>
      </c>
      <c r="L156" s="18" t="s">
        <v>21</v>
      </c>
    </row>
    <row r="157" spans="1:12" ht="15.75" thickBot="1" x14ac:dyDescent="0.3">
      <c r="A157" s="18" t="s">
        <v>181</v>
      </c>
      <c r="B157" s="18" t="s">
        <v>33</v>
      </c>
      <c r="C157" s="26" t="s">
        <v>503</v>
      </c>
      <c r="D157" s="18" t="s">
        <v>20</v>
      </c>
      <c r="E157" s="18" t="s">
        <v>404</v>
      </c>
      <c r="F157" s="18">
        <v>12478</v>
      </c>
      <c r="G157" s="18">
        <v>484</v>
      </c>
      <c r="H157" s="18">
        <v>332</v>
      </c>
      <c r="I157" s="18">
        <v>2734</v>
      </c>
      <c r="J157" s="27">
        <v>43338</v>
      </c>
      <c r="K157" s="18">
        <v>213895</v>
      </c>
      <c r="L157" s="18" t="s">
        <v>24</v>
      </c>
    </row>
    <row r="158" spans="1:12" ht="15.75" thickBot="1" x14ac:dyDescent="0.3">
      <c r="A158" s="18" t="s">
        <v>182</v>
      </c>
      <c r="B158" s="18" t="s">
        <v>12</v>
      </c>
      <c r="C158" s="26" t="s">
        <v>504</v>
      </c>
      <c r="D158" s="18" t="s">
        <v>23</v>
      </c>
      <c r="E158" s="18" t="s">
        <v>419</v>
      </c>
      <c r="F158" s="18">
        <v>24877</v>
      </c>
      <c r="G158" s="18">
        <v>262</v>
      </c>
      <c r="H158" s="18">
        <v>513</v>
      </c>
      <c r="I158" s="18">
        <v>648</v>
      </c>
      <c r="J158" s="27">
        <v>47544</v>
      </c>
      <c r="K158" s="18">
        <v>208280</v>
      </c>
      <c r="L158" s="18" t="s">
        <v>21</v>
      </c>
    </row>
    <row r="159" spans="1:12" ht="15.75" thickBot="1" x14ac:dyDescent="0.3">
      <c r="A159" s="18" t="s">
        <v>183</v>
      </c>
      <c r="B159" s="18" t="s">
        <v>33</v>
      </c>
      <c r="C159" s="26" t="s">
        <v>505</v>
      </c>
      <c r="D159" s="18" t="s">
        <v>29</v>
      </c>
      <c r="E159" s="18" t="s">
        <v>398</v>
      </c>
      <c r="F159" s="18">
        <v>14394</v>
      </c>
      <c r="G159" s="18">
        <v>1202</v>
      </c>
      <c r="H159" s="18">
        <v>188</v>
      </c>
      <c r="I159" s="18">
        <v>1259</v>
      </c>
      <c r="J159" s="27">
        <v>21925</v>
      </c>
      <c r="K159" s="18">
        <v>94061</v>
      </c>
      <c r="L159" s="18" t="s">
        <v>24</v>
      </c>
    </row>
    <row r="160" spans="1:12" ht="15.75" thickBot="1" x14ac:dyDescent="0.3">
      <c r="A160" s="18" t="s">
        <v>184</v>
      </c>
      <c r="B160" s="18" t="s">
        <v>19</v>
      </c>
      <c r="C160" s="28">
        <v>45935</v>
      </c>
      <c r="D160" s="18" t="s">
        <v>20</v>
      </c>
      <c r="E160" s="18" t="s">
        <v>404</v>
      </c>
      <c r="F160" s="18">
        <v>21262</v>
      </c>
      <c r="G160" s="18">
        <v>861</v>
      </c>
      <c r="H160" s="18">
        <v>676</v>
      </c>
      <c r="I160" s="18">
        <v>2263</v>
      </c>
      <c r="J160" s="27">
        <v>12085</v>
      </c>
      <c r="K160" s="18">
        <v>201731</v>
      </c>
      <c r="L160" s="18" t="s">
        <v>17</v>
      </c>
    </row>
    <row r="161" spans="1:12" ht="15.75" thickBot="1" x14ac:dyDescent="0.3">
      <c r="A161" s="18" t="s">
        <v>185</v>
      </c>
      <c r="B161" s="18" t="s">
        <v>16</v>
      </c>
      <c r="C161" s="26" t="s">
        <v>506</v>
      </c>
      <c r="D161" s="18" t="s">
        <v>20</v>
      </c>
      <c r="E161" s="18" t="s">
        <v>419</v>
      </c>
      <c r="F161" s="18">
        <v>22527</v>
      </c>
      <c r="G161" s="18">
        <v>865</v>
      </c>
      <c r="H161" s="18">
        <v>646</v>
      </c>
      <c r="I161" s="18">
        <v>992</v>
      </c>
      <c r="J161" s="27">
        <v>18654</v>
      </c>
      <c r="K161" s="18">
        <v>141376</v>
      </c>
      <c r="L161" s="18" t="s">
        <v>37</v>
      </c>
    </row>
    <row r="162" spans="1:12" ht="15.75" thickBot="1" x14ac:dyDescent="0.3">
      <c r="A162" s="18" t="s">
        <v>186</v>
      </c>
      <c r="B162" s="18" t="s">
        <v>12</v>
      </c>
      <c r="C162" s="28">
        <v>45936</v>
      </c>
      <c r="D162" s="18" t="s">
        <v>23</v>
      </c>
      <c r="E162" s="18" t="s">
        <v>400</v>
      </c>
      <c r="F162" s="18">
        <v>22028</v>
      </c>
      <c r="G162" s="18">
        <v>355</v>
      </c>
      <c r="H162" s="18">
        <v>665</v>
      </c>
      <c r="I162" s="18">
        <v>1859</v>
      </c>
      <c r="J162" s="27">
        <v>50565</v>
      </c>
      <c r="K162" s="18">
        <v>202962</v>
      </c>
      <c r="L162" s="18" t="s">
        <v>17</v>
      </c>
    </row>
    <row r="163" spans="1:12" ht="15.75" thickBot="1" x14ac:dyDescent="0.3">
      <c r="A163" s="18" t="s">
        <v>187</v>
      </c>
      <c r="B163" s="18" t="s">
        <v>19</v>
      </c>
      <c r="C163" s="26" t="s">
        <v>507</v>
      </c>
      <c r="D163" s="18" t="s">
        <v>13</v>
      </c>
      <c r="E163" s="18" t="s">
        <v>404</v>
      </c>
      <c r="F163" s="18">
        <v>6432</v>
      </c>
      <c r="G163" s="18">
        <v>1272</v>
      </c>
      <c r="H163" s="18">
        <v>498</v>
      </c>
      <c r="I163" s="18">
        <v>677</v>
      </c>
      <c r="J163" s="27">
        <v>47305</v>
      </c>
      <c r="K163" s="18">
        <v>119134</v>
      </c>
      <c r="L163" s="18" t="s">
        <v>14</v>
      </c>
    </row>
    <row r="164" spans="1:12" ht="15.75" thickBot="1" x14ac:dyDescent="0.3">
      <c r="A164" s="18" t="s">
        <v>188</v>
      </c>
      <c r="B164" s="18" t="s">
        <v>16</v>
      </c>
      <c r="C164" s="26" t="s">
        <v>508</v>
      </c>
      <c r="D164" s="18" t="s">
        <v>23</v>
      </c>
      <c r="E164" s="18" t="s">
        <v>397</v>
      </c>
      <c r="F164" s="18">
        <v>15568</v>
      </c>
      <c r="G164" s="18">
        <v>1166</v>
      </c>
      <c r="H164" s="18">
        <v>546</v>
      </c>
      <c r="I164" s="18">
        <v>826</v>
      </c>
      <c r="J164" s="27">
        <v>21836</v>
      </c>
      <c r="K164" s="18">
        <v>87055</v>
      </c>
      <c r="L164" s="18" t="s">
        <v>14</v>
      </c>
    </row>
    <row r="165" spans="1:12" ht="15.75" thickBot="1" x14ac:dyDescent="0.3">
      <c r="A165" s="18" t="s">
        <v>189</v>
      </c>
      <c r="B165" s="18" t="s">
        <v>16</v>
      </c>
      <c r="C165" s="26" t="s">
        <v>420</v>
      </c>
      <c r="D165" s="18" t="s">
        <v>13</v>
      </c>
      <c r="E165" s="18" t="s">
        <v>398</v>
      </c>
      <c r="F165" s="18">
        <v>16178</v>
      </c>
      <c r="G165" s="18">
        <v>1048</v>
      </c>
      <c r="H165" s="18">
        <v>871</v>
      </c>
      <c r="I165" s="18">
        <v>2553</v>
      </c>
      <c r="J165" s="27">
        <v>39025</v>
      </c>
      <c r="K165" s="18">
        <v>59508</v>
      </c>
      <c r="L165" s="18" t="s">
        <v>14</v>
      </c>
    </row>
    <row r="166" spans="1:12" ht="15.75" thickBot="1" x14ac:dyDescent="0.3">
      <c r="A166" s="18" t="s">
        <v>190</v>
      </c>
      <c r="B166" s="18" t="s">
        <v>33</v>
      </c>
      <c r="C166" s="28">
        <v>45937</v>
      </c>
      <c r="D166" s="18" t="s">
        <v>29</v>
      </c>
      <c r="E166" s="18" t="s">
        <v>406</v>
      </c>
      <c r="F166" s="18">
        <v>19660</v>
      </c>
      <c r="G166" s="18">
        <v>1307</v>
      </c>
      <c r="H166" s="18">
        <v>310</v>
      </c>
      <c r="I166" s="18">
        <v>2802</v>
      </c>
      <c r="J166" s="27">
        <v>22171</v>
      </c>
      <c r="K166" s="18">
        <v>213359</v>
      </c>
      <c r="L166" s="18" t="s">
        <v>17</v>
      </c>
    </row>
    <row r="167" spans="1:12" ht="15.75" thickBot="1" x14ac:dyDescent="0.3">
      <c r="A167" s="18" t="s">
        <v>191</v>
      </c>
      <c r="B167" s="18" t="s">
        <v>19</v>
      </c>
      <c r="C167" s="26" t="s">
        <v>509</v>
      </c>
      <c r="D167" s="18" t="s">
        <v>20</v>
      </c>
      <c r="E167" s="18" t="s">
        <v>415</v>
      </c>
      <c r="F167" s="18">
        <v>24195</v>
      </c>
      <c r="G167" s="18">
        <v>888</v>
      </c>
      <c r="H167" s="18">
        <v>165</v>
      </c>
      <c r="I167" s="18">
        <v>1559</v>
      </c>
      <c r="J167" s="27">
        <v>11596</v>
      </c>
      <c r="K167" s="18">
        <v>249988</v>
      </c>
      <c r="L167" s="18" t="s">
        <v>21</v>
      </c>
    </row>
    <row r="168" spans="1:12" ht="15.75" thickBot="1" x14ac:dyDescent="0.3">
      <c r="A168" s="18" t="s">
        <v>192</v>
      </c>
      <c r="B168" s="18" t="s">
        <v>16</v>
      </c>
      <c r="C168" s="26" t="s">
        <v>493</v>
      </c>
      <c r="D168" s="18" t="s">
        <v>29</v>
      </c>
      <c r="E168" s="18" t="s">
        <v>415</v>
      </c>
      <c r="F168" s="18">
        <v>2302</v>
      </c>
      <c r="G168" s="18">
        <v>347</v>
      </c>
      <c r="H168" s="18">
        <v>642</v>
      </c>
      <c r="I168" s="18">
        <v>2175</v>
      </c>
      <c r="J168" s="27">
        <v>56378</v>
      </c>
      <c r="K168" s="18">
        <v>198056</v>
      </c>
      <c r="L168" s="18" t="s">
        <v>37</v>
      </c>
    </row>
    <row r="169" spans="1:12" ht="15.75" thickBot="1" x14ac:dyDescent="0.3">
      <c r="A169" s="18" t="s">
        <v>193</v>
      </c>
      <c r="B169" s="18" t="s">
        <v>12</v>
      </c>
      <c r="C169" s="26" t="s">
        <v>510</v>
      </c>
      <c r="D169" s="18" t="s">
        <v>13</v>
      </c>
      <c r="E169" s="18" t="s">
        <v>398</v>
      </c>
      <c r="F169" s="18">
        <v>19022</v>
      </c>
      <c r="G169" s="18">
        <v>541</v>
      </c>
      <c r="H169" s="18">
        <v>575</v>
      </c>
      <c r="I169" s="18">
        <v>2063</v>
      </c>
      <c r="J169" s="27">
        <v>42743</v>
      </c>
      <c r="K169" s="18">
        <v>150169</v>
      </c>
      <c r="L169" s="18" t="s">
        <v>14</v>
      </c>
    </row>
    <row r="170" spans="1:12" ht="15.75" thickBot="1" x14ac:dyDescent="0.3">
      <c r="A170" s="18" t="s">
        <v>194</v>
      </c>
      <c r="B170" s="18" t="s">
        <v>12</v>
      </c>
      <c r="C170" s="26" t="s">
        <v>511</v>
      </c>
      <c r="D170" s="18" t="s">
        <v>13</v>
      </c>
      <c r="E170" s="18" t="s">
        <v>404</v>
      </c>
      <c r="F170" s="18">
        <v>2055</v>
      </c>
      <c r="G170" s="18">
        <v>675</v>
      </c>
      <c r="H170" s="18">
        <v>257</v>
      </c>
      <c r="I170" s="18">
        <v>820</v>
      </c>
      <c r="J170" s="27">
        <v>33534</v>
      </c>
      <c r="K170" s="18">
        <v>48125</v>
      </c>
      <c r="L170" s="18" t="s">
        <v>14</v>
      </c>
    </row>
    <row r="171" spans="1:12" ht="15.75" thickBot="1" x14ac:dyDescent="0.3">
      <c r="A171" s="18" t="s">
        <v>195</v>
      </c>
      <c r="B171" s="18" t="s">
        <v>33</v>
      </c>
      <c r="C171" s="26" t="s">
        <v>512</v>
      </c>
      <c r="D171" s="18" t="s">
        <v>29</v>
      </c>
      <c r="E171" s="18" t="s">
        <v>419</v>
      </c>
      <c r="F171" s="18">
        <v>15013</v>
      </c>
      <c r="G171" s="18">
        <v>1286</v>
      </c>
      <c r="H171" s="18">
        <v>599</v>
      </c>
      <c r="I171" s="18">
        <v>2001</v>
      </c>
      <c r="J171" s="27">
        <v>67839</v>
      </c>
      <c r="K171" s="18">
        <v>76059</v>
      </c>
      <c r="L171" s="18" t="s">
        <v>14</v>
      </c>
    </row>
    <row r="172" spans="1:12" ht="15.75" thickBot="1" x14ac:dyDescent="0.3">
      <c r="A172" s="18" t="s">
        <v>196</v>
      </c>
      <c r="B172" s="18" t="s">
        <v>16</v>
      </c>
      <c r="C172" s="26" t="s">
        <v>513</v>
      </c>
      <c r="D172" s="18" t="s">
        <v>13</v>
      </c>
      <c r="E172" s="18" t="s">
        <v>397</v>
      </c>
      <c r="F172" s="18">
        <v>10717</v>
      </c>
      <c r="G172" s="18">
        <v>760</v>
      </c>
      <c r="H172" s="18">
        <v>460</v>
      </c>
      <c r="I172" s="18">
        <v>1316</v>
      </c>
      <c r="J172" s="27">
        <v>18164</v>
      </c>
      <c r="K172" s="18">
        <v>240641</v>
      </c>
      <c r="L172" s="18" t="s">
        <v>37</v>
      </c>
    </row>
    <row r="173" spans="1:12" ht="15.75" thickBot="1" x14ac:dyDescent="0.3">
      <c r="A173" s="18" t="s">
        <v>197</v>
      </c>
      <c r="B173" s="18" t="s">
        <v>19</v>
      </c>
      <c r="C173" s="26" t="s">
        <v>514</v>
      </c>
      <c r="D173" s="18" t="s">
        <v>29</v>
      </c>
      <c r="E173" s="18" t="s">
        <v>459</v>
      </c>
      <c r="F173" s="18">
        <v>10150</v>
      </c>
      <c r="G173" s="18">
        <v>526</v>
      </c>
      <c r="H173" s="18">
        <v>888</v>
      </c>
      <c r="I173" s="18">
        <v>1313</v>
      </c>
      <c r="J173" s="27">
        <v>51605</v>
      </c>
      <c r="K173" s="18">
        <v>143409</v>
      </c>
      <c r="L173" s="18" t="s">
        <v>14</v>
      </c>
    </row>
    <row r="174" spans="1:12" ht="15.75" thickBot="1" x14ac:dyDescent="0.3">
      <c r="A174" s="18" t="s">
        <v>198</v>
      </c>
      <c r="B174" s="18" t="s">
        <v>12</v>
      </c>
      <c r="C174" s="26" t="s">
        <v>515</v>
      </c>
      <c r="D174" s="18" t="s">
        <v>20</v>
      </c>
      <c r="E174" s="18" t="s">
        <v>415</v>
      </c>
      <c r="F174" s="18">
        <v>4125</v>
      </c>
      <c r="G174" s="18">
        <v>1364</v>
      </c>
      <c r="H174" s="18">
        <v>319</v>
      </c>
      <c r="I174" s="18">
        <v>2848</v>
      </c>
      <c r="J174" s="27">
        <v>15379</v>
      </c>
      <c r="K174" s="18">
        <v>188159</v>
      </c>
      <c r="L174" s="18" t="s">
        <v>37</v>
      </c>
    </row>
    <row r="175" spans="1:12" ht="15.75" thickBot="1" x14ac:dyDescent="0.3">
      <c r="A175" s="18" t="s">
        <v>199</v>
      </c>
      <c r="B175" s="18" t="s">
        <v>16</v>
      </c>
      <c r="C175" s="26" t="s">
        <v>444</v>
      </c>
      <c r="D175" s="18" t="s">
        <v>29</v>
      </c>
      <c r="E175" s="18" t="s">
        <v>397</v>
      </c>
      <c r="F175" s="18">
        <v>13479</v>
      </c>
      <c r="G175" s="18">
        <v>1189</v>
      </c>
      <c r="H175" s="18">
        <v>695</v>
      </c>
      <c r="I175" s="18">
        <v>416</v>
      </c>
      <c r="J175" s="27">
        <v>30229</v>
      </c>
      <c r="K175" s="18">
        <v>45704</v>
      </c>
      <c r="L175" s="18" t="s">
        <v>14</v>
      </c>
    </row>
    <row r="176" spans="1:12" ht="15.75" thickBot="1" x14ac:dyDescent="0.3">
      <c r="A176" s="18" t="s">
        <v>200</v>
      </c>
      <c r="B176" s="18" t="s">
        <v>16</v>
      </c>
      <c r="C176" s="28">
        <v>45938</v>
      </c>
      <c r="D176" s="18" t="s">
        <v>20</v>
      </c>
      <c r="E176" s="18" t="s">
        <v>415</v>
      </c>
      <c r="F176" s="18">
        <v>17745</v>
      </c>
      <c r="G176" s="18">
        <v>414</v>
      </c>
      <c r="H176" s="18">
        <v>563</v>
      </c>
      <c r="I176" s="18">
        <v>2733</v>
      </c>
      <c r="J176" s="27">
        <v>995</v>
      </c>
      <c r="K176" s="18">
        <v>231648</v>
      </c>
      <c r="L176" s="18" t="s">
        <v>17</v>
      </c>
    </row>
    <row r="177" spans="1:12" ht="15.75" thickBot="1" x14ac:dyDescent="0.3">
      <c r="A177" s="18" t="s">
        <v>201</v>
      </c>
      <c r="B177" s="18" t="s">
        <v>33</v>
      </c>
      <c r="C177" s="28">
        <v>45939</v>
      </c>
      <c r="D177" s="18" t="s">
        <v>29</v>
      </c>
      <c r="E177" s="18" t="s">
        <v>400</v>
      </c>
      <c r="F177" s="18">
        <v>18748</v>
      </c>
      <c r="G177" s="18">
        <v>634</v>
      </c>
      <c r="H177" s="18">
        <v>400</v>
      </c>
      <c r="I177" s="18">
        <v>1667</v>
      </c>
      <c r="J177" s="27">
        <v>75813</v>
      </c>
      <c r="K177" s="18">
        <v>244456</v>
      </c>
      <c r="L177" s="18" t="s">
        <v>17</v>
      </c>
    </row>
    <row r="178" spans="1:12" ht="15.75" thickBot="1" x14ac:dyDescent="0.3">
      <c r="A178" s="18" t="s">
        <v>202</v>
      </c>
      <c r="B178" s="18" t="s">
        <v>12</v>
      </c>
      <c r="C178" s="26" t="s">
        <v>516</v>
      </c>
      <c r="D178" s="18" t="s">
        <v>13</v>
      </c>
      <c r="E178" s="18" t="s">
        <v>419</v>
      </c>
      <c r="F178" s="18">
        <v>8809</v>
      </c>
      <c r="G178" s="18">
        <v>1151</v>
      </c>
      <c r="H178" s="18">
        <v>908</v>
      </c>
      <c r="I178" s="18">
        <v>883</v>
      </c>
      <c r="J178" s="27">
        <v>42921</v>
      </c>
      <c r="K178" s="18">
        <v>151279</v>
      </c>
      <c r="L178" s="18" t="s">
        <v>37</v>
      </c>
    </row>
    <row r="179" spans="1:12" ht="15.75" thickBot="1" x14ac:dyDescent="0.3">
      <c r="A179" s="18" t="s">
        <v>203</v>
      </c>
      <c r="B179" s="18" t="s">
        <v>12</v>
      </c>
      <c r="C179" s="28">
        <v>45940</v>
      </c>
      <c r="D179" s="18" t="s">
        <v>29</v>
      </c>
      <c r="E179" s="18" t="s">
        <v>400</v>
      </c>
      <c r="F179" s="18">
        <v>6621</v>
      </c>
      <c r="G179" s="18">
        <v>922</v>
      </c>
      <c r="H179" s="18">
        <v>930</v>
      </c>
      <c r="I179" s="18">
        <v>694</v>
      </c>
      <c r="J179" s="27">
        <v>839</v>
      </c>
      <c r="K179" s="18">
        <v>243532</v>
      </c>
      <c r="L179" s="18" t="s">
        <v>17</v>
      </c>
    </row>
    <row r="180" spans="1:12" ht="15.75" thickBot="1" x14ac:dyDescent="0.3">
      <c r="A180" s="18" t="s">
        <v>204</v>
      </c>
      <c r="B180" s="18" t="s">
        <v>19</v>
      </c>
      <c r="C180" s="26" t="s">
        <v>495</v>
      </c>
      <c r="D180" s="18" t="s">
        <v>13</v>
      </c>
      <c r="E180" s="18" t="s">
        <v>415</v>
      </c>
      <c r="F180" s="18">
        <v>17034</v>
      </c>
      <c r="G180" s="18">
        <v>231</v>
      </c>
      <c r="H180" s="18">
        <v>290</v>
      </c>
      <c r="I180" s="18">
        <v>1387</v>
      </c>
      <c r="J180" s="27">
        <v>63550</v>
      </c>
      <c r="K180" s="18">
        <v>198280</v>
      </c>
      <c r="L180" s="18" t="s">
        <v>37</v>
      </c>
    </row>
    <row r="181" spans="1:12" ht="15.75" thickBot="1" x14ac:dyDescent="0.3">
      <c r="A181" s="18" t="s">
        <v>205</v>
      </c>
      <c r="B181" s="18" t="s">
        <v>12</v>
      </c>
      <c r="C181" s="28">
        <v>45941</v>
      </c>
      <c r="D181" s="18" t="s">
        <v>29</v>
      </c>
      <c r="E181" s="18" t="s">
        <v>406</v>
      </c>
      <c r="F181" s="18">
        <v>15623</v>
      </c>
      <c r="G181" s="18">
        <v>869</v>
      </c>
      <c r="H181" s="18">
        <v>423</v>
      </c>
      <c r="I181" s="18">
        <v>371</v>
      </c>
      <c r="J181" s="27">
        <v>47579</v>
      </c>
      <c r="K181" s="18">
        <v>158516</v>
      </c>
      <c r="L181" s="18" t="s">
        <v>17</v>
      </c>
    </row>
    <row r="182" spans="1:12" ht="15.75" thickBot="1" x14ac:dyDescent="0.3">
      <c r="A182" s="18" t="s">
        <v>206</v>
      </c>
      <c r="B182" s="18" t="s">
        <v>19</v>
      </c>
      <c r="C182" s="28">
        <v>45942</v>
      </c>
      <c r="D182" s="18" t="s">
        <v>29</v>
      </c>
      <c r="E182" s="18" t="s">
        <v>406</v>
      </c>
      <c r="F182" s="18">
        <v>7126</v>
      </c>
      <c r="G182" s="18">
        <v>484</v>
      </c>
      <c r="H182" s="18">
        <v>565</v>
      </c>
      <c r="I182" s="18">
        <v>573</v>
      </c>
      <c r="J182" s="27">
        <v>7389</v>
      </c>
      <c r="K182" s="18">
        <v>237096</v>
      </c>
      <c r="L182" s="18" t="s">
        <v>17</v>
      </c>
    </row>
    <row r="183" spans="1:12" ht="15.75" thickBot="1" x14ac:dyDescent="0.3">
      <c r="A183" s="18" t="s">
        <v>207</v>
      </c>
      <c r="B183" s="18" t="s">
        <v>12</v>
      </c>
      <c r="C183" s="26" t="s">
        <v>428</v>
      </c>
      <c r="D183" s="18" t="s">
        <v>23</v>
      </c>
      <c r="E183" s="18" t="s">
        <v>400</v>
      </c>
      <c r="F183" s="18">
        <v>7122</v>
      </c>
      <c r="G183" s="18">
        <v>628</v>
      </c>
      <c r="H183" s="18">
        <v>757</v>
      </c>
      <c r="I183" s="18">
        <v>2313</v>
      </c>
      <c r="J183" s="27">
        <v>50924</v>
      </c>
      <c r="K183" s="18">
        <v>210954</v>
      </c>
      <c r="L183" s="18" t="s">
        <v>37</v>
      </c>
    </row>
    <row r="184" spans="1:12" ht="15.75" thickBot="1" x14ac:dyDescent="0.3">
      <c r="A184" s="18" t="s">
        <v>208</v>
      </c>
      <c r="B184" s="18" t="s">
        <v>33</v>
      </c>
      <c r="C184" s="26" t="s">
        <v>517</v>
      </c>
      <c r="D184" s="18" t="s">
        <v>13</v>
      </c>
      <c r="E184" s="18" t="s">
        <v>406</v>
      </c>
      <c r="F184" s="18">
        <v>20030</v>
      </c>
      <c r="G184" s="18">
        <v>485</v>
      </c>
      <c r="H184" s="18">
        <v>888</v>
      </c>
      <c r="I184" s="18">
        <v>1643</v>
      </c>
      <c r="J184" s="27">
        <v>4322</v>
      </c>
      <c r="K184" s="18">
        <v>196995</v>
      </c>
      <c r="L184" s="18" t="s">
        <v>21</v>
      </c>
    </row>
    <row r="185" spans="1:12" ht="15.75" thickBot="1" x14ac:dyDescent="0.3">
      <c r="A185" s="18" t="s">
        <v>209</v>
      </c>
      <c r="B185" s="18" t="s">
        <v>12</v>
      </c>
      <c r="C185" s="28">
        <v>45943</v>
      </c>
      <c r="D185" s="18" t="s">
        <v>23</v>
      </c>
      <c r="E185" s="18" t="s">
        <v>415</v>
      </c>
      <c r="F185" s="18">
        <v>19302</v>
      </c>
      <c r="G185" s="18">
        <v>1367</v>
      </c>
      <c r="H185" s="18">
        <v>188</v>
      </c>
      <c r="I185" s="18">
        <v>637</v>
      </c>
      <c r="J185" s="27">
        <v>31404</v>
      </c>
      <c r="K185" s="18">
        <v>154044</v>
      </c>
      <c r="L185" s="18" t="s">
        <v>17</v>
      </c>
    </row>
    <row r="186" spans="1:12" ht="15.75" thickBot="1" x14ac:dyDescent="0.3">
      <c r="A186" s="18" t="s">
        <v>210</v>
      </c>
      <c r="B186" s="18" t="s">
        <v>19</v>
      </c>
      <c r="C186" s="26" t="s">
        <v>518</v>
      </c>
      <c r="D186" s="18" t="s">
        <v>13</v>
      </c>
      <c r="E186" s="18" t="s">
        <v>398</v>
      </c>
      <c r="F186" s="18">
        <v>21181</v>
      </c>
      <c r="G186" s="18">
        <v>1242</v>
      </c>
      <c r="H186" s="18">
        <v>963</v>
      </c>
      <c r="I186" s="18">
        <v>1689</v>
      </c>
      <c r="J186" s="27">
        <v>49329</v>
      </c>
      <c r="K186" s="18">
        <v>69165</v>
      </c>
      <c r="L186" s="18" t="s">
        <v>14</v>
      </c>
    </row>
    <row r="187" spans="1:12" ht="15.75" thickBot="1" x14ac:dyDescent="0.3">
      <c r="A187" s="18" t="s">
        <v>211</v>
      </c>
      <c r="B187" s="18" t="s">
        <v>19</v>
      </c>
      <c r="C187" s="26" t="s">
        <v>506</v>
      </c>
      <c r="D187" s="18" t="s">
        <v>23</v>
      </c>
      <c r="E187" s="18" t="s">
        <v>400</v>
      </c>
      <c r="F187" s="18">
        <v>24890</v>
      </c>
      <c r="G187" s="18">
        <v>217</v>
      </c>
      <c r="H187" s="18">
        <v>178</v>
      </c>
      <c r="I187" s="18">
        <v>906</v>
      </c>
      <c r="J187" s="27">
        <v>54826</v>
      </c>
      <c r="K187" s="18">
        <v>107203</v>
      </c>
      <c r="L187" s="18" t="s">
        <v>21</v>
      </c>
    </row>
    <row r="188" spans="1:12" ht="15.75" thickBot="1" x14ac:dyDescent="0.3">
      <c r="A188" s="18" t="s">
        <v>212</v>
      </c>
      <c r="B188" s="18" t="s">
        <v>33</v>
      </c>
      <c r="C188" s="26" t="s">
        <v>519</v>
      </c>
      <c r="D188" s="18" t="s">
        <v>20</v>
      </c>
      <c r="E188" s="18" t="s">
        <v>459</v>
      </c>
      <c r="F188" s="18">
        <v>7870</v>
      </c>
      <c r="G188" s="18">
        <v>968</v>
      </c>
      <c r="H188" s="18">
        <v>626</v>
      </c>
      <c r="I188" s="18">
        <v>465</v>
      </c>
      <c r="J188" s="27">
        <v>27184</v>
      </c>
      <c r="K188" s="18">
        <v>44114</v>
      </c>
      <c r="L188" s="18" t="s">
        <v>37</v>
      </c>
    </row>
    <row r="189" spans="1:12" ht="15.75" thickBot="1" x14ac:dyDescent="0.3">
      <c r="A189" s="18" t="s">
        <v>213</v>
      </c>
      <c r="B189" s="18" t="s">
        <v>12</v>
      </c>
      <c r="C189" s="26" t="s">
        <v>465</v>
      </c>
      <c r="D189" s="18" t="s">
        <v>29</v>
      </c>
      <c r="E189" s="18" t="s">
        <v>459</v>
      </c>
      <c r="F189" s="18">
        <v>3531</v>
      </c>
      <c r="G189" s="18">
        <v>789</v>
      </c>
      <c r="H189" s="18">
        <v>467</v>
      </c>
      <c r="I189" s="18">
        <v>1867</v>
      </c>
      <c r="J189" s="27">
        <v>40816</v>
      </c>
      <c r="K189" s="18">
        <v>236037</v>
      </c>
      <c r="L189" s="18" t="s">
        <v>21</v>
      </c>
    </row>
    <row r="190" spans="1:12" ht="15.75" thickBot="1" x14ac:dyDescent="0.3">
      <c r="A190" s="18" t="s">
        <v>214</v>
      </c>
      <c r="B190" s="18" t="s">
        <v>12</v>
      </c>
      <c r="C190" s="26" t="s">
        <v>520</v>
      </c>
      <c r="D190" s="18" t="s">
        <v>13</v>
      </c>
      <c r="E190" s="18" t="s">
        <v>27</v>
      </c>
      <c r="F190" s="18">
        <v>10172</v>
      </c>
      <c r="G190" s="18">
        <v>1398</v>
      </c>
      <c r="H190" s="18">
        <v>394</v>
      </c>
      <c r="I190" s="18">
        <v>2358</v>
      </c>
      <c r="J190" s="27">
        <v>59610</v>
      </c>
      <c r="K190" s="18">
        <v>76321</v>
      </c>
      <c r="L190" s="18" t="s">
        <v>24</v>
      </c>
    </row>
    <row r="191" spans="1:12" ht="15.75" thickBot="1" x14ac:dyDescent="0.3">
      <c r="A191" s="18" t="s">
        <v>215</v>
      </c>
      <c r="B191" s="18" t="s">
        <v>33</v>
      </c>
      <c r="C191" s="26" t="s">
        <v>521</v>
      </c>
      <c r="D191" s="18" t="s">
        <v>13</v>
      </c>
      <c r="E191" s="18" t="s">
        <v>404</v>
      </c>
      <c r="F191" s="18">
        <v>21729</v>
      </c>
      <c r="G191" s="18">
        <v>1209</v>
      </c>
      <c r="H191" s="18">
        <v>897</v>
      </c>
      <c r="I191" s="18">
        <v>1624</v>
      </c>
      <c r="J191" s="27">
        <v>38771</v>
      </c>
      <c r="K191" s="18">
        <v>113297</v>
      </c>
      <c r="L191" s="18" t="s">
        <v>24</v>
      </c>
    </row>
    <row r="192" spans="1:12" ht="15.75" thickBot="1" x14ac:dyDescent="0.3">
      <c r="A192" s="18" t="s">
        <v>216</v>
      </c>
      <c r="B192" s="18" t="s">
        <v>12</v>
      </c>
      <c r="C192" s="28">
        <v>45944</v>
      </c>
      <c r="D192" s="18" t="s">
        <v>29</v>
      </c>
      <c r="E192" s="18" t="s">
        <v>419</v>
      </c>
      <c r="F192" s="18">
        <v>9673</v>
      </c>
      <c r="G192" s="18">
        <v>393</v>
      </c>
      <c r="H192" s="18">
        <v>846</v>
      </c>
      <c r="I192" s="18">
        <v>1028</v>
      </c>
      <c r="J192" s="27">
        <v>55556</v>
      </c>
      <c r="K192" s="18">
        <v>136652</v>
      </c>
      <c r="L192" s="18" t="s">
        <v>17</v>
      </c>
    </row>
    <row r="193" spans="1:12" ht="15.75" thickBot="1" x14ac:dyDescent="0.3">
      <c r="A193" s="18" t="s">
        <v>217</v>
      </c>
      <c r="B193" s="18" t="s">
        <v>12</v>
      </c>
      <c r="C193" s="28">
        <v>45945</v>
      </c>
      <c r="D193" s="18" t="s">
        <v>13</v>
      </c>
      <c r="E193" s="18" t="s">
        <v>406</v>
      </c>
      <c r="F193" s="18">
        <v>8882</v>
      </c>
      <c r="G193" s="18">
        <v>701</v>
      </c>
      <c r="H193" s="18">
        <v>421</v>
      </c>
      <c r="I193" s="18">
        <v>2343</v>
      </c>
      <c r="J193" s="27">
        <v>13588</v>
      </c>
      <c r="K193" s="18">
        <v>139304</v>
      </c>
      <c r="L193" s="18" t="s">
        <v>17</v>
      </c>
    </row>
    <row r="194" spans="1:12" ht="15.75" thickBot="1" x14ac:dyDescent="0.3">
      <c r="A194" s="18" t="s">
        <v>218</v>
      </c>
      <c r="B194" s="18" t="s">
        <v>19</v>
      </c>
      <c r="C194" s="26" t="s">
        <v>522</v>
      </c>
      <c r="D194" s="18" t="s">
        <v>13</v>
      </c>
      <c r="E194" s="18" t="s">
        <v>406</v>
      </c>
      <c r="F194" s="18">
        <v>3906</v>
      </c>
      <c r="G194" s="18">
        <v>1187</v>
      </c>
      <c r="H194" s="18">
        <v>589</v>
      </c>
      <c r="I194" s="18">
        <v>401</v>
      </c>
      <c r="J194" s="27">
        <v>52687</v>
      </c>
      <c r="K194" s="18">
        <v>196498</v>
      </c>
      <c r="L194" s="18" t="s">
        <v>14</v>
      </c>
    </row>
    <row r="195" spans="1:12" ht="15.75" thickBot="1" x14ac:dyDescent="0.3">
      <c r="A195" s="18" t="s">
        <v>219</v>
      </c>
      <c r="B195" s="18" t="s">
        <v>12</v>
      </c>
      <c r="C195" s="26" t="s">
        <v>487</v>
      </c>
      <c r="D195" s="18" t="s">
        <v>23</v>
      </c>
      <c r="E195" s="18" t="s">
        <v>404</v>
      </c>
      <c r="F195" s="18">
        <v>5086</v>
      </c>
      <c r="G195" s="18">
        <v>1336</v>
      </c>
      <c r="H195" s="18">
        <v>897</v>
      </c>
      <c r="I195" s="18">
        <v>1715</v>
      </c>
      <c r="J195" s="27">
        <v>60592</v>
      </c>
      <c r="K195" s="18">
        <v>57772</v>
      </c>
      <c r="L195" s="18" t="s">
        <v>21</v>
      </c>
    </row>
    <row r="196" spans="1:12" ht="15.75" thickBot="1" x14ac:dyDescent="0.3">
      <c r="A196" s="18" t="s">
        <v>220</v>
      </c>
      <c r="B196" s="18" t="s">
        <v>12</v>
      </c>
      <c r="C196" s="26" t="s">
        <v>523</v>
      </c>
      <c r="D196" s="18" t="s">
        <v>13</v>
      </c>
      <c r="E196" s="18" t="s">
        <v>409</v>
      </c>
      <c r="F196" s="18">
        <v>15503</v>
      </c>
      <c r="G196" s="18">
        <v>313</v>
      </c>
      <c r="H196" s="18">
        <v>388</v>
      </c>
      <c r="I196" s="18">
        <v>1078</v>
      </c>
      <c r="J196" s="27">
        <v>11500</v>
      </c>
      <c r="K196" s="18">
        <v>143754</v>
      </c>
      <c r="L196" s="18" t="s">
        <v>24</v>
      </c>
    </row>
    <row r="197" spans="1:12" ht="15.75" thickBot="1" x14ac:dyDescent="0.3">
      <c r="A197" s="18" t="s">
        <v>221</v>
      </c>
      <c r="B197" s="18" t="s">
        <v>33</v>
      </c>
      <c r="C197" s="28">
        <v>45918</v>
      </c>
      <c r="D197" s="18" t="s">
        <v>20</v>
      </c>
      <c r="E197" s="18" t="s">
        <v>54</v>
      </c>
      <c r="F197" s="18">
        <v>10152</v>
      </c>
      <c r="G197" s="18">
        <v>1445</v>
      </c>
      <c r="H197" s="18">
        <v>526</v>
      </c>
      <c r="I197" s="18">
        <v>513</v>
      </c>
      <c r="J197" s="27">
        <v>18959</v>
      </c>
      <c r="K197" s="18">
        <v>43712</v>
      </c>
      <c r="L197" s="18" t="s">
        <v>17</v>
      </c>
    </row>
    <row r="198" spans="1:12" ht="15.75" thickBot="1" x14ac:dyDescent="0.3">
      <c r="A198" s="18" t="s">
        <v>222</v>
      </c>
      <c r="B198" s="18" t="s">
        <v>33</v>
      </c>
      <c r="C198" s="26" t="s">
        <v>503</v>
      </c>
      <c r="D198" s="18" t="s">
        <v>20</v>
      </c>
      <c r="E198" s="18" t="s">
        <v>400</v>
      </c>
      <c r="F198" s="18">
        <v>7750</v>
      </c>
      <c r="G198" s="18">
        <v>1146</v>
      </c>
      <c r="H198" s="18">
        <v>415</v>
      </c>
      <c r="I198" s="18">
        <v>1411</v>
      </c>
      <c r="J198" s="27">
        <v>85339</v>
      </c>
      <c r="K198" s="18">
        <v>172439</v>
      </c>
      <c r="L198" s="18" t="s">
        <v>21</v>
      </c>
    </row>
    <row r="199" spans="1:12" ht="15.75" thickBot="1" x14ac:dyDescent="0.3">
      <c r="A199" s="18" t="s">
        <v>223</v>
      </c>
      <c r="B199" s="18" t="s">
        <v>16</v>
      </c>
      <c r="C199" s="28">
        <v>45919</v>
      </c>
      <c r="D199" s="18" t="s">
        <v>29</v>
      </c>
      <c r="E199" s="18" t="s">
        <v>402</v>
      </c>
      <c r="F199" s="18">
        <v>14772</v>
      </c>
      <c r="G199" s="18">
        <v>1030</v>
      </c>
      <c r="H199" s="18">
        <v>508</v>
      </c>
      <c r="I199" s="18">
        <v>1876</v>
      </c>
      <c r="J199" s="27">
        <v>8882</v>
      </c>
      <c r="K199" s="18">
        <v>155142</v>
      </c>
      <c r="L199" s="18" t="s">
        <v>17</v>
      </c>
    </row>
    <row r="200" spans="1:12" ht="15.75" thickBot="1" x14ac:dyDescent="0.3">
      <c r="A200" s="18" t="s">
        <v>224</v>
      </c>
      <c r="B200" s="18" t="s">
        <v>19</v>
      </c>
      <c r="C200" s="28">
        <v>45920</v>
      </c>
      <c r="D200" s="18" t="s">
        <v>13</v>
      </c>
      <c r="E200" s="18" t="s">
        <v>406</v>
      </c>
      <c r="F200" s="18">
        <v>12267</v>
      </c>
      <c r="G200" s="18">
        <v>1487</v>
      </c>
      <c r="H200" s="18">
        <v>489</v>
      </c>
      <c r="I200" s="18">
        <v>2748</v>
      </c>
      <c r="J200" s="27">
        <v>34685</v>
      </c>
      <c r="K200" s="18">
        <v>131736</v>
      </c>
      <c r="L200" s="18" t="s">
        <v>17</v>
      </c>
    </row>
    <row r="201" spans="1:12" ht="15.75" thickBot="1" x14ac:dyDescent="0.3">
      <c r="A201" s="18" t="s">
        <v>225</v>
      </c>
      <c r="B201" s="18" t="s">
        <v>12</v>
      </c>
      <c r="C201" s="26" t="s">
        <v>524</v>
      </c>
      <c r="D201" s="18" t="s">
        <v>29</v>
      </c>
      <c r="E201" s="18" t="s">
        <v>419</v>
      </c>
      <c r="F201" s="18">
        <v>3062</v>
      </c>
      <c r="G201" s="18">
        <v>1124</v>
      </c>
      <c r="H201" s="18">
        <v>538</v>
      </c>
      <c r="I201" s="18">
        <v>2935</v>
      </c>
      <c r="J201" s="27">
        <v>69749</v>
      </c>
      <c r="K201" s="18">
        <v>91924</v>
      </c>
      <c r="L201" s="18" t="s">
        <v>24</v>
      </c>
    </row>
    <row r="202" spans="1:12" ht="15.75" thickBot="1" x14ac:dyDescent="0.3">
      <c r="A202" s="18" t="s">
        <v>226</v>
      </c>
      <c r="B202" s="18" t="s">
        <v>12</v>
      </c>
      <c r="C202" s="26" t="s">
        <v>525</v>
      </c>
      <c r="D202" s="18" t="s">
        <v>20</v>
      </c>
      <c r="E202" s="18" t="s">
        <v>27</v>
      </c>
      <c r="F202" s="18">
        <v>20360</v>
      </c>
      <c r="G202" s="18">
        <v>254</v>
      </c>
      <c r="H202" s="18">
        <v>726</v>
      </c>
      <c r="I202" s="18">
        <v>1995</v>
      </c>
      <c r="J202" s="27">
        <v>14280</v>
      </c>
      <c r="K202" s="18">
        <v>43726</v>
      </c>
      <c r="L202" s="18" t="s">
        <v>24</v>
      </c>
    </row>
    <row r="203" spans="1:12" ht="15.75" thickBot="1" x14ac:dyDescent="0.3">
      <c r="A203" s="18" t="s">
        <v>227</v>
      </c>
      <c r="B203" s="18" t="s">
        <v>16</v>
      </c>
      <c r="C203" s="28">
        <v>45921</v>
      </c>
      <c r="D203" s="18" t="s">
        <v>13</v>
      </c>
      <c r="E203" s="18" t="s">
        <v>459</v>
      </c>
      <c r="F203" s="18">
        <v>19680</v>
      </c>
      <c r="G203" s="18">
        <v>999</v>
      </c>
      <c r="H203" s="18">
        <v>838</v>
      </c>
      <c r="I203" s="18">
        <v>891</v>
      </c>
      <c r="J203" s="27">
        <v>29576</v>
      </c>
      <c r="K203" s="18">
        <v>129152</v>
      </c>
      <c r="L203" s="18" t="s">
        <v>17</v>
      </c>
    </row>
    <row r="204" spans="1:12" ht="15.75" thickBot="1" x14ac:dyDescent="0.3">
      <c r="A204" s="18" t="s">
        <v>228</v>
      </c>
      <c r="B204" s="18" t="s">
        <v>12</v>
      </c>
      <c r="C204" s="26" t="s">
        <v>526</v>
      </c>
      <c r="D204" s="18" t="s">
        <v>13</v>
      </c>
      <c r="E204" s="18" t="s">
        <v>406</v>
      </c>
      <c r="F204" s="18">
        <v>8229</v>
      </c>
      <c r="G204" s="18">
        <v>977</v>
      </c>
      <c r="H204" s="18">
        <v>152</v>
      </c>
      <c r="I204" s="18">
        <v>1633</v>
      </c>
      <c r="J204" s="27">
        <v>71447</v>
      </c>
      <c r="K204" s="18">
        <v>67723</v>
      </c>
      <c r="L204" s="18" t="s">
        <v>37</v>
      </c>
    </row>
    <row r="205" spans="1:12" ht="15.75" thickBot="1" x14ac:dyDescent="0.3">
      <c r="A205" s="18" t="s">
        <v>229</v>
      </c>
      <c r="B205" s="18" t="s">
        <v>19</v>
      </c>
      <c r="C205" s="28">
        <v>45922</v>
      </c>
      <c r="D205" s="18" t="s">
        <v>29</v>
      </c>
      <c r="E205" s="18" t="s">
        <v>27</v>
      </c>
      <c r="F205" s="18">
        <v>18509</v>
      </c>
      <c r="G205" s="18">
        <v>361</v>
      </c>
      <c r="H205" s="18">
        <v>578</v>
      </c>
      <c r="I205" s="18">
        <v>1409</v>
      </c>
      <c r="J205" s="27">
        <v>10569</v>
      </c>
      <c r="K205" s="18">
        <v>166969</v>
      </c>
      <c r="L205" s="18" t="s">
        <v>17</v>
      </c>
    </row>
    <row r="206" spans="1:12" ht="15.75" thickBot="1" x14ac:dyDescent="0.3">
      <c r="A206" s="18" t="s">
        <v>230</v>
      </c>
      <c r="B206" s="18" t="s">
        <v>16</v>
      </c>
      <c r="C206" s="28">
        <v>45923</v>
      </c>
      <c r="D206" s="18" t="s">
        <v>20</v>
      </c>
      <c r="E206" s="18" t="s">
        <v>415</v>
      </c>
      <c r="F206" s="18">
        <v>17147</v>
      </c>
      <c r="G206" s="18">
        <v>286</v>
      </c>
      <c r="H206" s="18">
        <v>291</v>
      </c>
      <c r="I206" s="18">
        <v>2439</v>
      </c>
      <c r="J206" s="27">
        <v>45631</v>
      </c>
      <c r="K206" s="18">
        <v>140494</v>
      </c>
      <c r="L206" s="18" t="s">
        <v>17</v>
      </c>
    </row>
    <row r="207" spans="1:12" ht="15.75" thickBot="1" x14ac:dyDescent="0.3">
      <c r="A207" s="18" t="s">
        <v>231</v>
      </c>
      <c r="B207" s="18" t="s">
        <v>19</v>
      </c>
      <c r="C207" s="26" t="s">
        <v>403</v>
      </c>
      <c r="D207" s="18" t="s">
        <v>13</v>
      </c>
      <c r="E207" s="18" t="s">
        <v>415</v>
      </c>
      <c r="F207" s="18">
        <v>6632</v>
      </c>
      <c r="G207" s="18">
        <v>254</v>
      </c>
      <c r="H207" s="18">
        <v>525</v>
      </c>
      <c r="I207" s="18">
        <v>1013</v>
      </c>
      <c r="J207" s="27">
        <v>13838</v>
      </c>
      <c r="K207" s="18">
        <v>180180</v>
      </c>
      <c r="L207" s="18" t="s">
        <v>14</v>
      </c>
    </row>
    <row r="208" spans="1:12" ht="15.75" thickBot="1" x14ac:dyDescent="0.3">
      <c r="A208" s="18" t="s">
        <v>232</v>
      </c>
      <c r="B208" s="18" t="s">
        <v>16</v>
      </c>
      <c r="C208" s="26" t="s">
        <v>527</v>
      </c>
      <c r="D208" s="18" t="s">
        <v>29</v>
      </c>
      <c r="E208" s="18" t="s">
        <v>54</v>
      </c>
      <c r="F208" s="18">
        <v>8288</v>
      </c>
      <c r="G208" s="18">
        <v>1401</v>
      </c>
      <c r="H208" s="18">
        <v>819</v>
      </c>
      <c r="I208" s="18">
        <v>1235</v>
      </c>
      <c r="J208" s="27">
        <v>33446</v>
      </c>
      <c r="K208" s="18">
        <v>248786</v>
      </c>
      <c r="L208" s="18" t="s">
        <v>14</v>
      </c>
    </row>
    <row r="209" spans="1:12" ht="15.75" thickBot="1" x14ac:dyDescent="0.3">
      <c r="A209" s="18" t="s">
        <v>233</v>
      </c>
      <c r="B209" s="18" t="s">
        <v>16</v>
      </c>
      <c r="C209" s="26" t="s">
        <v>403</v>
      </c>
      <c r="D209" s="18" t="s">
        <v>20</v>
      </c>
      <c r="E209" s="18" t="s">
        <v>398</v>
      </c>
      <c r="F209" s="18">
        <v>5596</v>
      </c>
      <c r="G209" s="18">
        <v>1231</v>
      </c>
      <c r="H209" s="18">
        <v>473</v>
      </c>
      <c r="I209" s="18">
        <v>2251</v>
      </c>
      <c r="J209" s="27">
        <v>43705</v>
      </c>
      <c r="K209" s="18">
        <v>75643</v>
      </c>
      <c r="L209" s="18" t="s">
        <v>14</v>
      </c>
    </row>
    <row r="210" spans="1:12" ht="15.75" thickBot="1" x14ac:dyDescent="0.3">
      <c r="A210" s="18" t="s">
        <v>234</v>
      </c>
      <c r="B210" s="18" t="s">
        <v>33</v>
      </c>
      <c r="C210" s="26" t="s">
        <v>528</v>
      </c>
      <c r="D210" s="18" t="s">
        <v>29</v>
      </c>
      <c r="E210" s="18" t="s">
        <v>402</v>
      </c>
      <c r="F210" s="18">
        <v>13475</v>
      </c>
      <c r="G210" s="18">
        <v>1032</v>
      </c>
      <c r="H210" s="18">
        <v>295</v>
      </c>
      <c r="I210" s="18">
        <v>541</v>
      </c>
      <c r="J210" s="27">
        <v>43666</v>
      </c>
      <c r="K210" s="18">
        <v>202396</v>
      </c>
      <c r="L210" s="18" t="s">
        <v>37</v>
      </c>
    </row>
    <row r="211" spans="1:12" ht="15.75" thickBot="1" x14ac:dyDescent="0.3">
      <c r="A211" s="18" t="s">
        <v>235</v>
      </c>
      <c r="B211" s="18" t="s">
        <v>19</v>
      </c>
      <c r="C211" s="26" t="s">
        <v>529</v>
      </c>
      <c r="D211" s="18" t="s">
        <v>23</v>
      </c>
      <c r="E211" s="18" t="s">
        <v>409</v>
      </c>
      <c r="F211" s="18">
        <v>8168</v>
      </c>
      <c r="G211" s="18">
        <v>512</v>
      </c>
      <c r="H211" s="18">
        <v>442</v>
      </c>
      <c r="I211" s="18">
        <v>2343</v>
      </c>
      <c r="J211" s="27">
        <v>2753</v>
      </c>
      <c r="K211" s="18">
        <v>143896</v>
      </c>
      <c r="L211" s="18" t="s">
        <v>37</v>
      </c>
    </row>
    <row r="212" spans="1:12" ht="15.75" thickBot="1" x14ac:dyDescent="0.3">
      <c r="A212" s="18" t="s">
        <v>236</v>
      </c>
      <c r="B212" s="18" t="s">
        <v>12</v>
      </c>
      <c r="C212" s="28">
        <v>45924</v>
      </c>
      <c r="D212" s="18" t="s">
        <v>13</v>
      </c>
      <c r="E212" s="18" t="s">
        <v>54</v>
      </c>
      <c r="F212" s="18">
        <v>11795</v>
      </c>
      <c r="G212" s="18">
        <v>958</v>
      </c>
      <c r="H212" s="18">
        <v>814</v>
      </c>
      <c r="I212" s="18">
        <v>301</v>
      </c>
      <c r="J212" s="27">
        <v>12564</v>
      </c>
      <c r="K212" s="18">
        <v>179999</v>
      </c>
      <c r="L212" s="18" t="s">
        <v>17</v>
      </c>
    </row>
    <row r="213" spans="1:12" ht="15.75" thickBot="1" x14ac:dyDescent="0.3">
      <c r="A213" s="18" t="s">
        <v>237</v>
      </c>
      <c r="B213" s="18" t="s">
        <v>12</v>
      </c>
      <c r="C213" s="26" t="s">
        <v>455</v>
      </c>
      <c r="D213" s="18" t="s">
        <v>23</v>
      </c>
      <c r="E213" s="18" t="s">
        <v>397</v>
      </c>
      <c r="F213" s="18">
        <v>9561</v>
      </c>
      <c r="G213" s="18">
        <v>642</v>
      </c>
      <c r="H213" s="18">
        <v>581</v>
      </c>
      <c r="I213" s="18">
        <v>2572</v>
      </c>
      <c r="J213" s="27">
        <v>38552</v>
      </c>
      <c r="K213" s="18">
        <v>133680</v>
      </c>
      <c r="L213" s="18" t="s">
        <v>14</v>
      </c>
    </row>
    <row r="214" spans="1:12" ht="15.75" thickBot="1" x14ac:dyDescent="0.3">
      <c r="A214" s="18" t="s">
        <v>238</v>
      </c>
      <c r="B214" s="18" t="s">
        <v>19</v>
      </c>
      <c r="C214" s="26" t="s">
        <v>530</v>
      </c>
      <c r="D214" s="18" t="s">
        <v>20</v>
      </c>
      <c r="E214" s="18" t="s">
        <v>409</v>
      </c>
      <c r="F214" s="18">
        <v>10258</v>
      </c>
      <c r="G214" s="18">
        <v>527</v>
      </c>
      <c r="H214" s="18">
        <v>854</v>
      </c>
      <c r="I214" s="18">
        <v>2068</v>
      </c>
      <c r="J214" s="27">
        <v>45632</v>
      </c>
      <c r="K214" s="18">
        <v>136546</v>
      </c>
      <c r="L214" s="18" t="s">
        <v>37</v>
      </c>
    </row>
    <row r="215" spans="1:12" ht="15.75" thickBot="1" x14ac:dyDescent="0.3">
      <c r="A215" s="18" t="s">
        <v>239</v>
      </c>
      <c r="B215" s="18" t="s">
        <v>12</v>
      </c>
      <c r="C215" s="26" t="s">
        <v>396</v>
      </c>
      <c r="D215" s="18" t="s">
        <v>23</v>
      </c>
      <c r="E215" s="18" t="s">
        <v>400</v>
      </c>
      <c r="F215" s="18">
        <v>18616</v>
      </c>
      <c r="G215" s="18">
        <v>1277</v>
      </c>
      <c r="H215" s="18">
        <v>734</v>
      </c>
      <c r="I215" s="18">
        <v>2249</v>
      </c>
      <c r="J215" s="27">
        <v>3399</v>
      </c>
      <c r="K215" s="18">
        <v>193515</v>
      </c>
      <c r="L215" s="18" t="s">
        <v>24</v>
      </c>
    </row>
    <row r="216" spans="1:12" ht="15.75" thickBot="1" x14ac:dyDescent="0.3">
      <c r="A216" s="18" t="s">
        <v>240</v>
      </c>
      <c r="B216" s="18" t="s">
        <v>12</v>
      </c>
      <c r="C216" s="28">
        <v>45925</v>
      </c>
      <c r="D216" s="18" t="s">
        <v>23</v>
      </c>
      <c r="E216" s="18" t="s">
        <v>419</v>
      </c>
      <c r="F216" s="18">
        <v>8371</v>
      </c>
      <c r="G216" s="18">
        <v>960</v>
      </c>
      <c r="H216" s="18">
        <v>548</v>
      </c>
      <c r="I216" s="18">
        <v>2936</v>
      </c>
      <c r="J216" s="27">
        <v>82543</v>
      </c>
      <c r="K216" s="18">
        <v>119973</v>
      </c>
      <c r="L216" s="18" t="s">
        <v>17</v>
      </c>
    </row>
    <row r="217" spans="1:12" ht="15.75" thickBot="1" x14ac:dyDescent="0.3">
      <c r="A217" s="18" t="s">
        <v>241</v>
      </c>
      <c r="B217" s="18" t="s">
        <v>19</v>
      </c>
      <c r="C217" s="26" t="s">
        <v>480</v>
      </c>
      <c r="D217" s="18" t="s">
        <v>20</v>
      </c>
      <c r="E217" s="18" t="s">
        <v>397</v>
      </c>
      <c r="F217" s="18">
        <v>22590</v>
      </c>
      <c r="G217" s="18">
        <v>1462</v>
      </c>
      <c r="H217" s="18">
        <v>966</v>
      </c>
      <c r="I217" s="18">
        <v>2463</v>
      </c>
      <c r="J217" s="27">
        <v>29689</v>
      </c>
      <c r="K217" s="18">
        <v>103449</v>
      </c>
      <c r="L217" s="18" t="s">
        <v>21</v>
      </c>
    </row>
    <row r="218" spans="1:12" ht="15.75" thickBot="1" x14ac:dyDescent="0.3">
      <c r="A218" s="18" t="s">
        <v>242</v>
      </c>
      <c r="B218" s="18" t="s">
        <v>16</v>
      </c>
      <c r="C218" s="28">
        <v>45926</v>
      </c>
      <c r="D218" s="18" t="s">
        <v>29</v>
      </c>
      <c r="E218" s="18" t="s">
        <v>397</v>
      </c>
      <c r="F218" s="18">
        <v>16369</v>
      </c>
      <c r="G218" s="18">
        <v>1452</v>
      </c>
      <c r="H218" s="18">
        <v>493</v>
      </c>
      <c r="I218" s="18">
        <v>1217</v>
      </c>
      <c r="J218" s="27">
        <v>91440</v>
      </c>
      <c r="K218" s="18">
        <v>149834</v>
      </c>
      <c r="L218" s="18" t="s">
        <v>17</v>
      </c>
    </row>
    <row r="219" spans="1:12" ht="15.75" thickBot="1" x14ac:dyDescent="0.3">
      <c r="A219" s="18" t="s">
        <v>243</v>
      </c>
      <c r="B219" s="18" t="s">
        <v>19</v>
      </c>
      <c r="C219" s="26" t="s">
        <v>531</v>
      </c>
      <c r="D219" s="18" t="s">
        <v>23</v>
      </c>
      <c r="E219" s="18" t="s">
        <v>54</v>
      </c>
      <c r="F219" s="18">
        <v>14910</v>
      </c>
      <c r="G219" s="18">
        <v>778</v>
      </c>
      <c r="H219" s="18">
        <v>289</v>
      </c>
      <c r="I219" s="18">
        <v>2541</v>
      </c>
      <c r="J219" s="27">
        <v>14309</v>
      </c>
      <c r="K219" s="18">
        <v>247815</v>
      </c>
      <c r="L219" s="18" t="s">
        <v>21</v>
      </c>
    </row>
    <row r="220" spans="1:12" ht="15.75" thickBot="1" x14ac:dyDescent="0.3">
      <c r="A220" s="18" t="s">
        <v>244</v>
      </c>
      <c r="B220" s="18" t="s">
        <v>16</v>
      </c>
      <c r="C220" s="26" t="s">
        <v>445</v>
      </c>
      <c r="D220" s="18" t="s">
        <v>29</v>
      </c>
      <c r="E220" s="18" t="s">
        <v>404</v>
      </c>
      <c r="F220" s="18">
        <v>9943</v>
      </c>
      <c r="G220" s="18">
        <v>1274</v>
      </c>
      <c r="H220" s="18">
        <v>336</v>
      </c>
      <c r="I220" s="18">
        <v>389</v>
      </c>
      <c r="J220" s="27">
        <v>6145</v>
      </c>
      <c r="K220" s="18">
        <v>231305</v>
      </c>
      <c r="L220" s="18" t="s">
        <v>14</v>
      </c>
    </row>
    <row r="221" spans="1:12" ht="15.75" thickBot="1" x14ac:dyDescent="0.3">
      <c r="A221" s="18" t="s">
        <v>245</v>
      </c>
      <c r="B221" s="18" t="s">
        <v>12</v>
      </c>
      <c r="C221" s="26" t="s">
        <v>532</v>
      </c>
      <c r="D221" s="18" t="s">
        <v>23</v>
      </c>
      <c r="E221" s="18" t="s">
        <v>398</v>
      </c>
      <c r="F221" s="18">
        <v>14199</v>
      </c>
      <c r="G221" s="18">
        <v>1206</v>
      </c>
      <c r="H221" s="18">
        <v>954</v>
      </c>
      <c r="I221" s="18">
        <v>2009</v>
      </c>
      <c r="J221" s="27">
        <v>8</v>
      </c>
      <c r="K221" s="18">
        <v>65537</v>
      </c>
      <c r="L221" s="18" t="s">
        <v>21</v>
      </c>
    </row>
    <row r="222" spans="1:12" ht="15.75" thickBot="1" x14ac:dyDescent="0.3">
      <c r="A222" s="18" t="s">
        <v>246</v>
      </c>
      <c r="B222" s="18" t="s">
        <v>12</v>
      </c>
      <c r="C222" s="26" t="s">
        <v>475</v>
      </c>
      <c r="D222" s="18" t="s">
        <v>29</v>
      </c>
      <c r="E222" s="18" t="s">
        <v>404</v>
      </c>
      <c r="F222" s="18">
        <v>17728</v>
      </c>
      <c r="G222" s="18">
        <v>1487</v>
      </c>
      <c r="H222" s="18">
        <v>210</v>
      </c>
      <c r="I222" s="18">
        <v>2469</v>
      </c>
      <c r="J222" s="27">
        <v>30565</v>
      </c>
      <c r="K222" s="18">
        <v>117576</v>
      </c>
      <c r="L222" s="18" t="s">
        <v>14</v>
      </c>
    </row>
    <row r="223" spans="1:12" ht="15.75" thickBot="1" x14ac:dyDescent="0.3">
      <c r="A223" s="18" t="s">
        <v>247</v>
      </c>
      <c r="B223" s="18" t="s">
        <v>12</v>
      </c>
      <c r="C223" s="26" t="s">
        <v>533</v>
      </c>
      <c r="D223" s="18" t="s">
        <v>20</v>
      </c>
      <c r="E223" s="18" t="s">
        <v>54</v>
      </c>
      <c r="F223" s="18">
        <v>8738</v>
      </c>
      <c r="G223" s="18">
        <v>295</v>
      </c>
      <c r="H223" s="18">
        <v>529</v>
      </c>
      <c r="I223" s="18">
        <v>442</v>
      </c>
      <c r="J223" s="27">
        <v>25286</v>
      </c>
      <c r="K223" s="18">
        <v>147522</v>
      </c>
      <c r="L223" s="18" t="s">
        <v>24</v>
      </c>
    </row>
    <row r="224" spans="1:12" ht="15.75" thickBot="1" x14ac:dyDescent="0.3">
      <c r="A224" s="18" t="s">
        <v>248</v>
      </c>
      <c r="B224" s="18" t="s">
        <v>33</v>
      </c>
      <c r="C224" s="26" t="s">
        <v>510</v>
      </c>
      <c r="D224" s="18" t="s">
        <v>23</v>
      </c>
      <c r="E224" s="18" t="s">
        <v>400</v>
      </c>
      <c r="F224" s="18">
        <v>17913</v>
      </c>
      <c r="G224" s="18">
        <v>1311</v>
      </c>
      <c r="H224" s="18">
        <v>859</v>
      </c>
      <c r="I224" s="18">
        <v>405</v>
      </c>
      <c r="J224" s="27">
        <v>59842</v>
      </c>
      <c r="K224" s="18">
        <v>62612</v>
      </c>
      <c r="L224" s="18" t="s">
        <v>21</v>
      </c>
    </row>
    <row r="225" spans="1:12" ht="15.75" thickBot="1" x14ac:dyDescent="0.3">
      <c r="A225" s="18" t="s">
        <v>249</v>
      </c>
      <c r="B225" s="18" t="s">
        <v>16</v>
      </c>
      <c r="C225" s="28">
        <v>45907</v>
      </c>
      <c r="D225" s="18" t="s">
        <v>20</v>
      </c>
      <c r="E225" s="18" t="s">
        <v>459</v>
      </c>
      <c r="F225" s="18">
        <v>4472</v>
      </c>
      <c r="G225" s="18">
        <v>1301</v>
      </c>
      <c r="H225" s="18">
        <v>956</v>
      </c>
      <c r="I225" s="18">
        <v>1186</v>
      </c>
      <c r="J225" s="27">
        <v>3363</v>
      </c>
      <c r="K225" s="18">
        <v>46471</v>
      </c>
      <c r="L225" s="18" t="s">
        <v>17</v>
      </c>
    </row>
    <row r="226" spans="1:12" ht="15.75" thickBot="1" x14ac:dyDescent="0.3">
      <c r="A226" s="18" t="s">
        <v>250</v>
      </c>
      <c r="B226" s="18" t="s">
        <v>33</v>
      </c>
      <c r="C226" s="26" t="s">
        <v>534</v>
      </c>
      <c r="D226" s="18" t="s">
        <v>23</v>
      </c>
      <c r="E226" s="18" t="s">
        <v>406</v>
      </c>
      <c r="F226" s="18">
        <v>21123</v>
      </c>
      <c r="G226" s="18">
        <v>1343</v>
      </c>
      <c r="H226" s="18">
        <v>589</v>
      </c>
      <c r="I226" s="18">
        <v>727</v>
      </c>
      <c r="J226" s="27">
        <v>87833</v>
      </c>
      <c r="K226" s="18">
        <v>206703</v>
      </c>
      <c r="L226" s="18" t="s">
        <v>14</v>
      </c>
    </row>
    <row r="227" spans="1:12" ht="15.75" thickBot="1" x14ac:dyDescent="0.3">
      <c r="A227" s="18" t="s">
        <v>251</v>
      </c>
      <c r="B227" s="18" t="s">
        <v>33</v>
      </c>
      <c r="C227" s="28">
        <v>45908</v>
      </c>
      <c r="D227" s="18" t="s">
        <v>20</v>
      </c>
      <c r="E227" s="18" t="s">
        <v>406</v>
      </c>
      <c r="F227" s="18">
        <v>23785</v>
      </c>
      <c r="G227" s="18">
        <v>1013</v>
      </c>
      <c r="H227" s="18">
        <v>468</v>
      </c>
      <c r="I227" s="18">
        <v>1628</v>
      </c>
      <c r="J227" s="27">
        <v>8272</v>
      </c>
      <c r="K227" s="18">
        <v>71348</v>
      </c>
      <c r="L227" s="18" t="s">
        <v>17</v>
      </c>
    </row>
    <row r="228" spans="1:12" ht="15.75" thickBot="1" x14ac:dyDescent="0.3">
      <c r="A228" s="18" t="s">
        <v>252</v>
      </c>
      <c r="B228" s="18" t="s">
        <v>19</v>
      </c>
      <c r="C228" s="26" t="s">
        <v>535</v>
      </c>
      <c r="D228" s="18" t="s">
        <v>20</v>
      </c>
      <c r="E228" s="18" t="s">
        <v>398</v>
      </c>
      <c r="F228" s="18">
        <v>17679</v>
      </c>
      <c r="G228" s="18">
        <v>690</v>
      </c>
      <c r="H228" s="18">
        <v>451</v>
      </c>
      <c r="I228" s="18">
        <v>2195</v>
      </c>
      <c r="J228" s="27">
        <v>4390</v>
      </c>
      <c r="K228" s="18">
        <v>235804</v>
      </c>
      <c r="L228" s="18" t="s">
        <v>37</v>
      </c>
    </row>
    <row r="229" spans="1:12" ht="15.75" thickBot="1" x14ac:dyDescent="0.3">
      <c r="A229" s="18" t="s">
        <v>253</v>
      </c>
      <c r="B229" s="18" t="s">
        <v>33</v>
      </c>
      <c r="C229" s="26" t="s">
        <v>536</v>
      </c>
      <c r="D229" s="18" t="s">
        <v>23</v>
      </c>
      <c r="E229" s="18" t="s">
        <v>400</v>
      </c>
      <c r="F229" s="18">
        <v>3761</v>
      </c>
      <c r="G229" s="18">
        <v>651</v>
      </c>
      <c r="H229" s="18">
        <v>493</v>
      </c>
      <c r="I229" s="18">
        <v>2294</v>
      </c>
      <c r="J229" s="27">
        <v>71696</v>
      </c>
      <c r="K229" s="18">
        <v>41177</v>
      </c>
      <c r="L229" s="18" t="s">
        <v>14</v>
      </c>
    </row>
    <row r="230" spans="1:12" ht="15.75" thickBot="1" x14ac:dyDescent="0.3">
      <c r="A230" s="18" t="s">
        <v>254</v>
      </c>
      <c r="B230" s="18" t="s">
        <v>19</v>
      </c>
      <c r="C230" s="26" t="s">
        <v>437</v>
      </c>
      <c r="D230" s="18" t="s">
        <v>23</v>
      </c>
      <c r="E230" s="18" t="s">
        <v>398</v>
      </c>
      <c r="F230" s="18">
        <v>12167</v>
      </c>
      <c r="G230" s="18">
        <v>364</v>
      </c>
      <c r="H230" s="18">
        <v>160</v>
      </c>
      <c r="I230" s="18">
        <v>616</v>
      </c>
      <c r="J230" s="27">
        <v>42228</v>
      </c>
      <c r="K230" s="18">
        <v>175832</v>
      </c>
      <c r="L230" s="18" t="s">
        <v>21</v>
      </c>
    </row>
    <row r="231" spans="1:12" ht="15.75" thickBot="1" x14ac:dyDescent="0.3">
      <c r="A231" s="18" t="s">
        <v>255</v>
      </c>
      <c r="B231" s="18" t="s">
        <v>19</v>
      </c>
      <c r="C231" s="26" t="s">
        <v>495</v>
      </c>
      <c r="D231" s="18" t="s">
        <v>23</v>
      </c>
      <c r="E231" s="18" t="s">
        <v>27</v>
      </c>
      <c r="F231" s="18">
        <v>12554</v>
      </c>
      <c r="G231" s="18">
        <v>381</v>
      </c>
      <c r="H231" s="18">
        <v>211</v>
      </c>
      <c r="I231" s="18">
        <v>2286</v>
      </c>
      <c r="J231" s="27">
        <v>50567</v>
      </c>
      <c r="K231" s="18">
        <v>72779</v>
      </c>
      <c r="L231" s="18" t="s">
        <v>14</v>
      </c>
    </row>
    <row r="232" spans="1:12" ht="15.75" thickBot="1" x14ac:dyDescent="0.3">
      <c r="A232" s="18" t="s">
        <v>256</v>
      </c>
      <c r="B232" s="18" t="s">
        <v>33</v>
      </c>
      <c r="C232" s="28">
        <v>45909</v>
      </c>
      <c r="D232" s="18" t="s">
        <v>13</v>
      </c>
      <c r="E232" s="18" t="s">
        <v>404</v>
      </c>
      <c r="F232" s="18">
        <v>19260</v>
      </c>
      <c r="G232" s="18">
        <v>668</v>
      </c>
      <c r="H232" s="18">
        <v>994</v>
      </c>
      <c r="I232" s="18">
        <v>934</v>
      </c>
      <c r="J232" s="27">
        <v>20509</v>
      </c>
      <c r="K232" s="18">
        <v>61636</v>
      </c>
      <c r="L232" s="18" t="s">
        <v>17</v>
      </c>
    </row>
    <row r="233" spans="1:12" ht="15.75" thickBot="1" x14ac:dyDescent="0.3">
      <c r="A233" s="18" t="s">
        <v>257</v>
      </c>
      <c r="B233" s="18" t="s">
        <v>16</v>
      </c>
      <c r="C233" s="26" t="s">
        <v>537</v>
      </c>
      <c r="D233" s="18" t="s">
        <v>29</v>
      </c>
      <c r="E233" s="18" t="s">
        <v>406</v>
      </c>
      <c r="F233" s="18">
        <v>16277</v>
      </c>
      <c r="G233" s="18">
        <v>1109</v>
      </c>
      <c r="H233" s="18">
        <v>375</v>
      </c>
      <c r="I233" s="18">
        <v>2225</v>
      </c>
      <c r="J233" s="27">
        <v>1044</v>
      </c>
      <c r="K233" s="18">
        <v>121889</v>
      </c>
      <c r="L233" s="18" t="s">
        <v>24</v>
      </c>
    </row>
    <row r="234" spans="1:12" ht="15.75" thickBot="1" x14ac:dyDescent="0.3">
      <c r="A234" s="18" t="s">
        <v>258</v>
      </c>
      <c r="B234" s="18" t="s">
        <v>16</v>
      </c>
      <c r="C234" s="26" t="s">
        <v>452</v>
      </c>
      <c r="D234" s="18" t="s">
        <v>13</v>
      </c>
      <c r="E234" s="18" t="s">
        <v>397</v>
      </c>
      <c r="F234" s="18">
        <v>5812</v>
      </c>
      <c r="G234" s="18">
        <v>934</v>
      </c>
      <c r="H234" s="18">
        <v>302</v>
      </c>
      <c r="I234" s="18">
        <v>2356</v>
      </c>
      <c r="J234" s="27">
        <v>37437</v>
      </c>
      <c r="K234" s="18">
        <v>93551</v>
      </c>
      <c r="L234" s="18" t="s">
        <v>14</v>
      </c>
    </row>
    <row r="235" spans="1:12" ht="15.75" thickBot="1" x14ac:dyDescent="0.3">
      <c r="A235" s="18" t="s">
        <v>259</v>
      </c>
      <c r="B235" s="18" t="s">
        <v>16</v>
      </c>
      <c r="C235" s="26" t="s">
        <v>538</v>
      </c>
      <c r="D235" s="18" t="s">
        <v>13</v>
      </c>
      <c r="E235" s="18" t="s">
        <v>404</v>
      </c>
      <c r="F235" s="18">
        <v>19844</v>
      </c>
      <c r="G235" s="18">
        <v>1022</v>
      </c>
      <c r="H235" s="18">
        <v>860</v>
      </c>
      <c r="I235" s="18">
        <v>2570</v>
      </c>
      <c r="J235" s="27">
        <v>23719</v>
      </c>
      <c r="K235" s="18">
        <v>182628</v>
      </c>
      <c r="L235" s="18" t="s">
        <v>21</v>
      </c>
    </row>
    <row r="236" spans="1:12" ht="15.75" thickBot="1" x14ac:dyDescent="0.3">
      <c r="A236" s="18" t="s">
        <v>260</v>
      </c>
      <c r="B236" s="18" t="s">
        <v>16</v>
      </c>
      <c r="C236" s="26" t="s">
        <v>519</v>
      </c>
      <c r="D236" s="18" t="s">
        <v>20</v>
      </c>
      <c r="E236" s="18" t="s">
        <v>402</v>
      </c>
      <c r="F236" s="18">
        <v>20117</v>
      </c>
      <c r="G236" s="18">
        <v>1143</v>
      </c>
      <c r="H236" s="18">
        <v>713</v>
      </c>
      <c r="I236" s="18">
        <v>1739</v>
      </c>
      <c r="J236" s="27">
        <v>34444</v>
      </c>
      <c r="K236" s="18">
        <v>198670</v>
      </c>
      <c r="L236" s="18" t="s">
        <v>37</v>
      </c>
    </row>
    <row r="237" spans="1:12" ht="15.75" thickBot="1" x14ac:dyDescent="0.3">
      <c r="A237" s="18" t="s">
        <v>261</v>
      </c>
      <c r="B237" s="18" t="s">
        <v>16</v>
      </c>
      <c r="C237" s="26" t="s">
        <v>416</v>
      </c>
      <c r="D237" s="18" t="s">
        <v>23</v>
      </c>
      <c r="E237" s="18" t="s">
        <v>419</v>
      </c>
      <c r="F237" s="18">
        <v>3605</v>
      </c>
      <c r="G237" s="18">
        <v>206</v>
      </c>
      <c r="H237" s="18">
        <v>921</v>
      </c>
      <c r="I237" s="18">
        <v>852</v>
      </c>
      <c r="J237" s="27">
        <v>11660</v>
      </c>
      <c r="K237" s="18">
        <v>182635</v>
      </c>
      <c r="L237" s="18" t="s">
        <v>24</v>
      </c>
    </row>
    <row r="238" spans="1:12" ht="15.75" thickBot="1" x14ac:dyDescent="0.3">
      <c r="A238" s="18" t="s">
        <v>262</v>
      </c>
      <c r="B238" s="18" t="s">
        <v>33</v>
      </c>
      <c r="C238" s="26" t="s">
        <v>503</v>
      </c>
      <c r="D238" s="18" t="s">
        <v>29</v>
      </c>
      <c r="E238" s="18" t="s">
        <v>400</v>
      </c>
      <c r="F238" s="18">
        <v>7622</v>
      </c>
      <c r="G238" s="18">
        <v>529</v>
      </c>
      <c r="H238" s="18">
        <v>720</v>
      </c>
      <c r="I238" s="18">
        <v>1015</v>
      </c>
      <c r="J238" s="27">
        <v>71322</v>
      </c>
      <c r="K238" s="18">
        <v>86819</v>
      </c>
      <c r="L238" s="18" t="s">
        <v>37</v>
      </c>
    </row>
    <row r="239" spans="1:12" ht="15.75" thickBot="1" x14ac:dyDescent="0.3">
      <c r="A239" s="18" t="s">
        <v>263</v>
      </c>
      <c r="B239" s="18" t="s">
        <v>33</v>
      </c>
      <c r="C239" s="26" t="s">
        <v>539</v>
      </c>
      <c r="D239" s="18" t="s">
        <v>20</v>
      </c>
      <c r="E239" s="18" t="s">
        <v>409</v>
      </c>
      <c r="F239" s="18">
        <v>8767</v>
      </c>
      <c r="G239" s="18">
        <v>974</v>
      </c>
      <c r="H239" s="18">
        <v>733</v>
      </c>
      <c r="I239" s="18">
        <v>1587</v>
      </c>
      <c r="J239" s="27">
        <v>74927</v>
      </c>
      <c r="K239" s="18">
        <v>113770</v>
      </c>
      <c r="L239" s="18" t="s">
        <v>14</v>
      </c>
    </row>
    <row r="240" spans="1:12" ht="15.75" thickBot="1" x14ac:dyDescent="0.3">
      <c r="A240" s="18" t="s">
        <v>264</v>
      </c>
      <c r="B240" s="18" t="s">
        <v>12</v>
      </c>
      <c r="C240" s="28">
        <v>45910</v>
      </c>
      <c r="D240" s="18" t="s">
        <v>13</v>
      </c>
      <c r="E240" s="18" t="s">
        <v>398</v>
      </c>
      <c r="F240" s="18">
        <v>13613</v>
      </c>
      <c r="G240" s="18">
        <v>350</v>
      </c>
      <c r="H240" s="18">
        <v>809</v>
      </c>
      <c r="I240" s="18">
        <v>2013</v>
      </c>
      <c r="J240" s="27">
        <v>20471</v>
      </c>
      <c r="K240" s="18">
        <v>198038</v>
      </c>
      <c r="L240" s="18" t="s">
        <v>17</v>
      </c>
    </row>
    <row r="241" spans="1:12" ht="15.75" thickBot="1" x14ac:dyDescent="0.3">
      <c r="A241" s="18" t="s">
        <v>265</v>
      </c>
      <c r="B241" s="18" t="s">
        <v>16</v>
      </c>
      <c r="C241" s="28">
        <v>45911</v>
      </c>
      <c r="D241" s="18" t="s">
        <v>23</v>
      </c>
      <c r="E241" s="18" t="s">
        <v>404</v>
      </c>
      <c r="F241" s="18">
        <v>21901</v>
      </c>
      <c r="G241" s="18">
        <v>1308</v>
      </c>
      <c r="H241" s="18">
        <v>724</v>
      </c>
      <c r="I241" s="18">
        <v>2183</v>
      </c>
      <c r="J241" s="27">
        <v>15996</v>
      </c>
      <c r="K241" s="18">
        <v>230961</v>
      </c>
      <c r="L241" s="18" t="s">
        <v>17</v>
      </c>
    </row>
    <row r="242" spans="1:12" ht="15.75" thickBot="1" x14ac:dyDescent="0.3">
      <c r="A242" s="18" t="s">
        <v>266</v>
      </c>
      <c r="B242" s="18" t="s">
        <v>33</v>
      </c>
      <c r="C242" s="26" t="s">
        <v>540</v>
      </c>
      <c r="D242" s="18" t="s">
        <v>20</v>
      </c>
      <c r="E242" s="18" t="s">
        <v>419</v>
      </c>
      <c r="F242" s="18">
        <v>12589</v>
      </c>
      <c r="G242" s="18">
        <v>346</v>
      </c>
      <c r="H242" s="18">
        <v>459</v>
      </c>
      <c r="I242" s="18">
        <v>1407</v>
      </c>
      <c r="J242" s="27">
        <v>29254</v>
      </c>
      <c r="K242" s="18">
        <v>198059</v>
      </c>
      <c r="L242" s="18" t="s">
        <v>21</v>
      </c>
    </row>
    <row r="243" spans="1:12" ht="15.75" thickBot="1" x14ac:dyDescent="0.3">
      <c r="A243" s="18" t="s">
        <v>267</v>
      </c>
      <c r="B243" s="18" t="s">
        <v>12</v>
      </c>
      <c r="C243" s="28">
        <v>45912</v>
      </c>
      <c r="D243" s="18" t="s">
        <v>23</v>
      </c>
      <c r="E243" s="18" t="s">
        <v>404</v>
      </c>
      <c r="F243" s="18">
        <v>15918</v>
      </c>
      <c r="G243" s="18">
        <v>1114</v>
      </c>
      <c r="H243" s="18">
        <v>392</v>
      </c>
      <c r="I243" s="18">
        <v>1641</v>
      </c>
      <c r="J243" s="27">
        <v>28044</v>
      </c>
      <c r="K243" s="18">
        <v>118714</v>
      </c>
      <c r="L243" s="18" t="s">
        <v>17</v>
      </c>
    </row>
    <row r="244" spans="1:12" ht="15.75" thickBot="1" x14ac:dyDescent="0.3">
      <c r="A244" s="18" t="s">
        <v>268</v>
      </c>
      <c r="B244" s="18" t="s">
        <v>16</v>
      </c>
      <c r="C244" s="26" t="s">
        <v>541</v>
      </c>
      <c r="D244" s="18" t="s">
        <v>20</v>
      </c>
      <c r="E244" s="18" t="s">
        <v>409</v>
      </c>
      <c r="F244" s="18">
        <v>22119</v>
      </c>
      <c r="G244" s="18">
        <v>899</v>
      </c>
      <c r="H244" s="18">
        <v>642</v>
      </c>
      <c r="I244" s="18">
        <v>410</v>
      </c>
      <c r="J244" s="27">
        <v>49490</v>
      </c>
      <c r="K244" s="18">
        <v>229420</v>
      </c>
      <c r="L244" s="18" t="s">
        <v>24</v>
      </c>
    </row>
    <row r="245" spans="1:12" ht="15.75" thickBot="1" x14ac:dyDescent="0.3">
      <c r="A245" s="18" t="s">
        <v>269</v>
      </c>
      <c r="B245" s="18" t="s">
        <v>19</v>
      </c>
      <c r="C245" s="28">
        <v>45913</v>
      </c>
      <c r="D245" s="18" t="s">
        <v>23</v>
      </c>
      <c r="E245" s="18" t="s">
        <v>419</v>
      </c>
      <c r="F245" s="18">
        <v>15046</v>
      </c>
      <c r="G245" s="18">
        <v>281</v>
      </c>
      <c r="H245" s="18">
        <v>515</v>
      </c>
      <c r="I245" s="18">
        <v>550</v>
      </c>
      <c r="J245" s="27">
        <v>22583</v>
      </c>
      <c r="K245" s="18">
        <v>64596</v>
      </c>
      <c r="L245" s="18" t="s">
        <v>17</v>
      </c>
    </row>
    <row r="246" spans="1:12" ht="15.75" thickBot="1" x14ac:dyDescent="0.3">
      <c r="A246" s="18" t="s">
        <v>270</v>
      </c>
      <c r="B246" s="18" t="s">
        <v>12</v>
      </c>
      <c r="C246" s="26" t="s">
        <v>542</v>
      </c>
      <c r="D246" s="18" t="s">
        <v>13</v>
      </c>
      <c r="E246" s="18" t="s">
        <v>402</v>
      </c>
      <c r="F246" s="18">
        <v>4590</v>
      </c>
      <c r="G246" s="18">
        <v>713</v>
      </c>
      <c r="H246" s="18">
        <v>479</v>
      </c>
      <c r="I246" s="18">
        <v>2730</v>
      </c>
      <c r="J246" s="27">
        <v>41050</v>
      </c>
      <c r="K246" s="18">
        <v>204246</v>
      </c>
      <c r="L246" s="18" t="s">
        <v>21</v>
      </c>
    </row>
    <row r="247" spans="1:12" ht="15.75" thickBot="1" x14ac:dyDescent="0.3">
      <c r="A247" s="18" t="s">
        <v>271</v>
      </c>
      <c r="B247" s="18" t="s">
        <v>33</v>
      </c>
      <c r="C247" s="26" t="s">
        <v>543</v>
      </c>
      <c r="D247" s="18" t="s">
        <v>29</v>
      </c>
      <c r="E247" s="18" t="s">
        <v>409</v>
      </c>
      <c r="F247" s="18">
        <v>19447</v>
      </c>
      <c r="G247" s="18">
        <v>1014</v>
      </c>
      <c r="H247" s="18">
        <v>256</v>
      </c>
      <c r="I247" s="18">
        <v>2354</v>
      </c>
      <c r="J247" s="27">
        <v>5472</v>
      </c>
      <c r="K247" s="18">
        <v>104106</v>
      </c>
      <c r="L247" s="18" t="s">
        <v>14</v>
      </c>
    </row>
    <row r="248" spans="1:12" ht="15.75" thickBot="1" x14ac:dyDescent="0.3">
      <c r="A248" s="18" t="s">
        <v>272</v>
      </c>
      <c r="B248" s="18" t="s">
        <v>19</v>
      </c>
      <c r="C248" s="26" t="s">
        <v>544</v>
      </c>
      <c r="D248" s="18" t="s">
        <v>13</v>
      </c>
      <c r="E248" s="18" t="s">
        <v>54</v>
      </c>
      <c r="F248" s="18">
        <v>6324</v>
      </c>
      <c r="G248" s="18">
        <v>908</v>
      </c>
      <c r="H248" s="18">
        <v>375</v>
      </c>
      <c r="I248" s="18">
        <v>758</v>
      </c>
      <c r="J248" s="27">
        <v>34850</v>
      </c>
      <c r="K248" s="18">
        <v>241039</v>
      </c>
      <c r="L248" s="18" t="s">
        <v>14</v>
      </c>
    </row>
    <row r="249" spans="1:12" ht="15.75" thickBot="1" x14ac:dyDescent="0.3">
      <c r="A249" s="18" t="s">
        <v>273</v>
      </c>
      <c r="B249" s="18" t="s">
        <v>19</v>
      </c>
      <c r="C249" s="28">
        <v>45914</v>
      </c>
      <c r="D249" s="18" t="s">
        <v>29</v>
      </c>
      <c r="E249" s="18" t="s">
        <v>415</v>
      </c>
      <c r="F249" s="18">
        <v>12787</v>
      </c>
      <c r="G249" s="18">
        <v>945</v>
      </c>
      <c r="H249" s="18">
        <v>974</v>
      </c>
      <c r="I249" s="18">
        <v>1407</v>
      </c>
      <c r="J249" s="27">
        <v>4037</v>
      </c>
      <c r="K249" s="18">
        <v>99182</v>
      </c>
      <c r="L249" s="18" t="s">
        <v>17</v>
      </c>
    </row>
    <row r="250" spans="1:12" ht="15.75" thickBot="1" x14ac:dyDescent="0.3">
      <c r="A250" s="18" t="s">
        <v>274</v>
      </c>
      <c r="B250" s="18" t="s">
        <v>19</v>
      </c>
      <c r="C250" s="26" t="s">
        <v>545</v>
      </c>
      <c r="D250" s="18" t="s">
        <v>23</v>
      </c>
      <c r="E250" s="18" t="s">
        <v>54</v>
      </c>
      <c r="F250" s="18">
        <v>11111</v>
      </c>
      <c r="G250" s="18">
        <v>1222</v>
      </c>
      <c r="H250" s="18">
        <v>367</v>
      </c>
      <c r="I250" s="18">
        <v>507</v>
      </c>
      <c r="J250" s="27">
        <v>14129</v>
      </c>
      <c r="K250" s="18">
        <v>127163</v>
      </c>
      <c r="L250" s="18" t="s">
        <v>37</v>
      </c>
    </row>
    <row r="251" spans="1:12" ht="15.75" thickBot="1" x14ac:dyDescent="0.3">
      <c r="A251" s="18" t="s">
        <v>275</v>
      </c>
      <c r="B251" s="18" t="s">
        <v>12</v>
      </c>
      <c r="C251" s="26" t="s">
        <v>444</v>
      </c>
      <c r="D251" s="18" t="s">
        <v>20</v>
      </c>
      <c r="E251" s="18" t="s">
        <v>406</v>
      </c>
      <c r="F251" s="18">
        <v>7342</v>
      </c>
      <c r="G251" s="18">
        <v>906</v>
      </c>
      <c r="H251" s="18">
        <v>902</v>
      </c>
      <c r="I251" s="18">
        <v>1199</v>
      </c>
      <c r="J251" s="27">
        <v>68488</v>
      </c>
      <c r="K251" s="18">
        <v>79310</v>
      </c>
      <c r="L251" s="18" t="s">
        <v>14</v>
      </c>
    </row>
    <row r="252" spans="1:12" ht="15.75" thickBot="1" x14ac:dyDescent="0.3">
      <c r="A252" s="18" t="s">
        <v>276</v>
      </c>
      <c r="B252" s="18" t="s">
        <v>33</v>
      </c>
      <c r="C252" s="28">
        <v>45915</v>
      </c>
      <c r="D252" s="18" t="s">
        <v>13</v>
      </c>
      <c r="E252" s="18" t="s">
        <v>404</v>
      </c>
      <c r="F252" s="18">
        <v>18389</v>
      </c>
      <c r="G252" s="18">
        <v>670</v>
      </c>
      <c r="H252" s="18">
        <v>655</v>
      </c>
      <c r="I252" s="18">
        <v>321</v>
      </c>
      <c r="J252" s="27">
        <v>21869</v>
      </c>
      <c r="K252" s="18">
        <v>96088</v>
      </c>
      <c r="L252" s="18" t="s">
        <v>17</v>
      </c>
    </row>
    <row r="253" spans="1:12" ht="15.75" thickBot="1" x14ac:dyDescent="0.3">
      <c r="A253" s="18" t="s">
        <v>277</v>
      </c>
      <c r="B253" s="18" t="s">
        <v>19</v>
      </c>
      <c r="C253" s="26" t="s">
        <v>512</v>
      </c>
      <c r="D253" s="18" t="s">
        <v>29</v>
      </c>
      <c r="E253" s="18" t="s">
        <v>415</v>
      </c>
      <c r="F253" s="18">
        <v>10659</v>
      </c>
      <c r="G253" s="18">
        <v>1342</v>
      </c>
      <c r="H253" s="18">
        <v>408</v>
      </c>
      <c r="I253" s="18">
        <v>709</v>
      </c>
      <c r="J253" s="27">
        <v>16309</v>
      </c>
      <c r="K253" s="18">
        <v>168803</v>
      </c>
      <c r="L253" s="18" t="s">
        <v>21</v>
      </c>
    </row>
    <row r="254" spans="1:12" ht="15.75" thickBot="1" x14ac:dyDescent="0.3">
      <c r="A254" s="18" t="s">
        <v>278</v>
      </c>
      <c r="B254" s="18" t="s">
        <v>16</v>
      </c>
      <c r="C254" s="28">
        <v>45916</v>
      </c>
      <c r="D254" s="18" t="s">
        <v>13</v>
      </c>
      <c r="E254" s="18" t="s">
        <v>54</v>
      </c>
      <c r="F254" s="18">
        <v>16043</v>
      </c>
      <c r="G254" s="18">
        <v>595</v>
      </c>
      <c r="H254" s="18">
        <v>923</v>
      </c>
      <c r="I254" s="18">
        <v>1194</v>
      </c>
      <c r="J254" s="27">
        <v>52613</v>
      </c>
      <c r="K254" s="18">
        <v>179978</v>
      </c>
      <c r="L254" s="18" t="s">
        <v>17</v>
      </c>
    </row>
    <row r="255" spans="1:12" ht="15.75" thickBot="1" x14ac:dyDescent="0.3">
      <c r="A255" s="18" t="s">
        <v>279</v>
      </c>
      <c r="B255" s="18" t="s">
        <v>19</v>
      </c>
      <c r="C255" s="26" t="s">
        <v>546</v>
      </c>
      <c r="D255" s="18" t="s">
        <v>29</v>
      </c>
      <c r="E255" s="18" t="s">
        <v>415</v>
      </c>
      <c r="F255" s="18">
        <v>24350</v>
      </c>
      <c r="G255" s="18">
        <v>460</v>
      </c>
      <c r="H255" s="18">
        <v>666</v>
      </c>
      <c r="I255" s="18">
        <v>814</v>
      </c>
      <c r="J255" s="27">
        <v>21120</v>
      </c>
      <c r="K255" s="18">
        <v>76914</v>
      </c>
      <c r="L255" s="18" t="s">
        <v>14</v>
      </c>
    </row>
    <row r="256" spans="1:12" ht="15.75" thickBot="1" x14ac:dyDescent="0.3">
      <c r="A256" s="18" t="s">
        <v>280</v>
      </c>
      <c r="B256" s="18" t="s">
        <v>19</v>
      </c>
      <c r="C256" s="26" t="s">
        <v>547</v>
      </c>
      <c r="D256" s="18" t="s">
        <v>13</v>
      </c>
      <c r="E256" s="18" t="s">
        <v>459</v>
      </c>
      <c r="F256" s="18">
        <v>10837</v>
      </c>
      <c r="G256" s="18">
        <v>1004</v>
      </c>
      <c r="H256" s="18">
        <v>922</v>
      </c>
      <c r="I256" s="18">
        <v>1108</v>
      </c>
      <c r="J256" s="27">
        <v>36807</v>
      </c>
      <c r="K256" s="18">
        <v>150350</v>
      </c>
      <c r="L256" s="18" t="s">
        <v>21</v>
      </c>
    </row>
    <row r="257" spans="1:12" ht="15.75" thickBot="1" x14ac:dyDescent="0.3">
      <c r="A257" s="18" t="s">
        <v>281</v>
      </c>
      <c r="B257" s="18" t="s">
        <v>12</v>
      </c>
      <c r="C257" s="28">
        <v>45917</v>
      </c>
      <c r="D257" s="18" t="s">
        <v>29</v>
      </c>
      <c r="E257" s="18" t="s">
        <v>404</v>
      </c>
      <c r="F257" s="18">
        <v>2117</v>
      </c>
      <c r="G257" s="18">
        <v>1133</v>
      </c>
      <c r="H257" s="18">
        <v>203</v>
      </c>
      <c r="I257" s="18">
        <v>1173</v>
      </c>
      <c r="J257" s="27">
        <v>40125</v>
      </c>
      <c r="K257" s="18">
        <v>85379</v>
      </c>
      <c r="L257" s="18" t="s">
        <v>17</v>
      </c>
    </row>
    <row r="258" spans="1:12" ht="15.75" thickBot="1" x14ac:dyDescent="0.3">
      <c r="A258" s="18" t="s">
        <v>282</v>
      </c>
      <c r="B258" s="18" t="s">
        <v>12</v>
      </c>
      <c r="C258" s="26" t="s">
        <v>488</v>
      </c>
      <c r="D258" s="18" t="s">
        <v>29</v>
      </c>
      <c r="E258" s="18" t="s">
        <v>415</v>
      </c>
      <c r="F258" s="18">
        <v>15917</v>
      </c>
      <c r="G258" s="18">
        <v>1479</v>
      </c>
      <c r="H258" s="18">
        <v>196</v>
      </c>
      <c r="I258" s="18">
        <v>313</v>
      </c>
      <c r="J258" s="27">
        <v>48524</v>
      </c>
      <c r="K258" s="18">
        <v>249684</v>
      </c>
      <c r="L258" s="18" t="s">
        <v>24</v>
      </c>
    </row>
    <row r="259" spans="1:12" ht="15.75" thickBot="1" x14ac:dyDescent="0.3">
      <c r="A259" s="18" t="s">
        <v>283</v>
      </c>
      <c r="B259" s="18" t="s">
        <v>33</v>
      </c>
      <c r="C259" s="26" t="s">
        <v>548</v>
      </c>
      <c r="D259" s="18" t="s">
        <v>23</v>
      </c>
      <c r="E259" s="18" t="s">
        <v>397</v>
      </c>
      <c r="F259" s="18">
        <v>20935</v>
      </c>
      <c r="G259" s="18">
        <v>1104</v>
      </c>
      <c r="H259" s="18">
        <v>876</v>
      </c>
      <c r="I259" s="18">
        <v>1270</v>
      </c>
      <c r="J259" s="27">
        <v>21454</v>
      </c>
      <c r="K259" s="18">
        <v>208722</v>
      </c>
      <c r="L259" s="18" t="s">
        <v>21</v>
      </c>
    </row>
    <row r="260" spans="1:12" ht="15.75" thickBot="1" x14ac:dyDescent="0.3">
      <c r="A260" s="18" t="s">
        <v>284</v>
      </c>
      <c r="B260" s="18" t="s">
        <v>16</v>
      </c>
      <c r="C260" s="26" t="s">
        <v>549</v>
      </c>
      <c r="D260" s="18" t="s">
        <v>29</v>
      </c>
      <c r="E260" s="18" t="s">
        <v>398</v>
      </c>
      <c r="F260" s="18">
        <v>16309</v>
      </c>
      <c r="G260" s="18">
        <v>1449</v>
      </c>
      <c r="H260" s="18">
        <v>838</v>
      </c>
      <c r="I260" s="18">
        <v>2434</v>
      </c>
      <c r="J260" s="27">
        <v>2940</v>
      </c>
      <c r="K260" s="18">
        <v>217953</v>
      </c>
      <c r="L260" s="18" t="s">
        <v>24</v>
      </c>
    </row>
    <row r="261" spans="1:12" ht="15.75" thickBot="1" x14ac:dyDescent="0.3">
      <c r="A261" s="18" t="s">
        <v>285</v>
      </c>
      <c r="B261" s="18" t="s">
        <v>12</v>
      </c>
      <c r="C261" s="26" t="s">
        <v>550</v>
      </c>
      <c r="D261" s="18" t="s">
        <v>23</v>
      </c>
      <c r="E261" s="18" t="s">
        <v>398</v>
      </c>
      <c r="F261" s="18">
        <v>15234</v>
      </c>
      <c r="G261" s="18">
        <v>1276</v>
      </c>
      <c r="H261" s="18">
        <v>670</v>
      </c>
      <c r="I261" s="18">
        <v>1860</v>
      </c>
      <c r="J261" s="27">
        <v>60397</v>
      </c>
      <c r="K261" s="18">
        <v>86413</v>
      </c>
      <c r="L261" s="18" t="s">
        <v>37</v>
      </c>
    </row>
    <row r="262" spans="1:12" ht="15.75" thickBot="1" x14ac:dyDescent="0.3">
      <c r="A262" s="18" t="s">
        <v>286</v>
      </c>
      <c r="B262" s="18" t="s">
        <v>19</v>
      </c>
      <c r="C262" s="26" t="s">
        <v>551</v>
      </c>
      <c r="D262" s="18" t="s">
        <v>29</v>
      </c>
      <c r="E262" s="18" t="s">
        <v>397</v>
      </c>
      <c r="F262" s="18">
        <v>7560</v>
      </c>
      <c r="G262" s="18">
        <v>1139</v>
      </c>
      <c r="H262" s="18">
        <v>248</v>
      </c>
      <c r="I262" s="18">
        <v>1624</v>
      </c>
      <c r="J262" s="27">
        <v>72237</v>
      </c>
      <c r="K262" s="18">
        <v>177084</v>
      </c>
      <c r="L262" s="18" t="s">
        <v>21</v>
      </c>
    </row>
    <row r="263" spans="1:12" ht="15.75" thickBot="1" x14ac:dyDescent="0.3">
      <c r="A263" s="18" t="s">
        <v>287</v>
      </c>
      <c r="B263" s="18" t="s">
        <v>33</v>
      </c>
      <c r="C263" s="26" t="s">
        <v>540</v>
      </c>
      <c r="D263" s="18" t="s">
        <v>20</v>
      </c>
      <c r="E263" s="18" t="s">
        <v>419</v>
      </c>
      <c r="F263" s="18">
        <v>22673</v>
      </c>
      <c r="G263" s="18">
        <v>1053</v>
      </c>
      <c r="H263" s="18">
        <v>169</v>
      </c>
      <c r="I263" s="18">
        <v>1566</v>
      </c>
      <c r="J263" s="27">
        <v>9417</v>
      </c>
      <c r="K263" s="18">
        <v>221187</v>
      </c>
      <c r="L263" s="18" t="s">
        <v>24</v>
      </c>
    </row>
    <row r="264" spans="1:12" ht="15.75" thickBot="1" x14ac:dyDescent="0.3">
      <c r="A264" s="18" t="s">
        <v>288</v>
      </c>
      <c r="B264" s="18" t="s">
        <v>19</v>
      </c>
      <c r="C264" s="26" t="s">
        <v>552</v>
      </c>
      <c r="D264" s="18" t="s">
        <v>20</v>
      </c>
      <c r="E264" s="18" t="s">
        <v>27</v>
      </c>
      <c r="F264" s="18">
        <v>2846</v>
      </c>
      <c r="G264" s="18">
        <v>792</v>
      </c>
      <c r="H264" s="18">
        <v>902</v>
      </c>
      <c r="I264" s="18">
        <v>2469</v>
      </c>
      <c r="J264" s="27">
        <v>12130</v>
      </c>
      <c r="K264" s="18">
        <v>47151</v>
      </c>
      <c r="L264" s="18" t="s">
        <v>14</v>
      </c>
    </row>
    <row r="265" spans="1:12" ht="15.75" thickBot="1" x14ac:dyDescent="0.3">
      <c r="A265" s="18" t="s">
        <v>289</v>
      </c>
      <c r="B265" s="18" t="s">
        <v>19</v>
      </c>
      <c r="C265" s="26" t="s">
        <v>553</v>
      </c>
      <c r="D265" s="18" t="s">
        <v>20</v>
      </c>
      <c r="E265" s="18" t="s">
        <v>419</v>
      </c>
      <c r="F265" s="18">
        <v>12954</v>
      </c>
      <c r="G265" s="18">
        <v>913</v>
      </c>
      <c r="H265" s="18">
        <v>722</v>
      </c>
      <c r="I265" s="18">
        <v>1049</v>
      </c>
      <c r="J265" s="27">
        <v>475</v>
      </c>
      <c r="K265" s="18">
        <v>97716</v>
      </c>
      <c r="L265" s="18" t="s">
        <v>14</v>
      </c>
    </row>
    <row r="266" spans="1:12" ht="15.75" thickBot="1" x14ac:dyDescent="0.3">
      <c r="A266" s="18" t="s">
        <v>290</v>
      </c>
      <c r="B266" s="18" t="s">
        <v>12</v>
      </c>
      <c r="C266" s="26" t="s">
        <v>554</v>
      </c>
      <c r="D266" s="18" t="s">
        <v>29</v>
      </c>
      <c r="E266" s="18" t="s">
        <v>409</v>
      </c>
      <c r="F266" s="18">
        <v>15703</v>
      </c>
      <c r="G266" s="18">
        <v>1381</v>
      </c>
      <c r="H266" s="18">
        <v>639</v>
      </c>
      <c r="I266" s="18">
        <v>984</v>
      </c>
      <c r="J266" s="27">
        <v>10967</v>
      </c>
      <c r="K266" s="18">
        <v>133747</v>
      </c>
      <c r="L266" s="18" t="s">
        <v>37</v>
      </c>
    </row>
    <row r="267" spans="1:12" ht="15.75" thickBot="1" x14ac:dyDescent="0.3">
      <c r="A267" s="18" t="s">
        <v>291</v>
      </c>
      <c r="B267" s="18" t="s">
        <v>33</v>
      </c>
      <c r="C267" s="26" t="s">
        <v>555</v>
      </c>
      <c r="D267" s="18" t="s">
        <v>23</v>
      </c>
      <c r="E267" s="18" t="s">
        <v>409</v>
      </c>
      <c r="F267" s="18">
        <v>17385</v>
      </c>
      <c r="G267" s="18">
        <v>831</v>
      </c>
      <c r="H267" s="18">
        <v>568</v>
      </c>
      <c r="I267" s="18">
        <v>2227</v>
      </c>
      <c r="J267" s="27">
        <v>49351</v>
      </c>
      <c r="K267" s="18">
        <v>207450</v>
      </c>
      <c r="L267" s="18" t="s">
        <v>21</v>
      </c>
    </row>
    <row r="268" spans="1:12" ht="15.75" thickBot="1" x14ac:dyDescent="0.3">
      <c r="A268" s="18" t="s">
        <v>292</v>
      </c>
      <c r="B268" s="18" t="s">
        <v>16</v>
      </c>
      <c r="C268" s="26" t="s">
        <v>521</v>
      </c>
      <c r="D268" s="18" t="s">
        <v>23</v>
      </c>
      <c r="E268" s="18" t="s">
        <v>415</v>
      </c>
      <c r="F268" s="18">
        <v>15746</v>
      </c>
      <c r="G268" s="18">
        <v>258</v>
      </c>
      <c r="H268" s="18">
        <v>839</v>
      </c>
      <c r="I268" s="18">
        <v>2656</v>
      </c>
      <c r="J268" s="27">
        <v>66614</v>
      </c>
      <c r="K268" s="18">
        <v>213724</v>
      </c>
      <c r="L268" s="18" t="s">
        <v>21</v>
      </c>
    </row>
    <row r="269" spans="1:12" ht="15.75" thickBot="1" x14ac:dyDescent="0.3">
      <c r="A269" s="18" t="s">
        <v>293</v>
      </c>
      <c r="B269" s="18" t="s">
        <v>16</v>
      </c>
      <c r="C269" s="26" t="s">
        <v>556</v>
      </c>
      <c r="D269" s="18" t="s">
        <v>29</v>
      </c>
      <c r="E269" s="18" t="s">
        <v>54</v>
      </c>
      <c r="F269" s="18">
        <v>24700</v>
      </c>
      <c r="G269" s="18">
        <v>327</v>
      </c>
      <c r="H269" s="18">
        <v>999</v>
      </c>
      <c r="I269" s="18">
        <v>994</v>
      </c>
      <c r="J269" s="27">
        <v>59400</v>
      </c>
      <c r="K269" s="18">
        <v>243502</v>
      </c>
      <c r="L269" s="18" t="s">
        <v>21</v>
      </c>
    </row>
    <row r="270" spans="1:12" ht="15.75" thickBot="1" x14ac:dyDescent="0.3">
      <c r="A270" s="18" t="s">
        <v>294</v>
      </c>
      <c r="B270" s="18" t="s">
        <v>12</v>
      </c>
      <c r="C270" s="26" t="s">
        <v>557</v>
      </c>
      <c r="D270" s="18" t="s">
        <v>20</v>
      </c>
      <c r="E270" s="18" t="s">
        <v>54</v>
      </c>
      <c r="F270" s="18">
        <v>8469</v>
      </c>
      <c r="G270" s="18">
        <v>935</v>
      </c>
      <c r="H270" s="18">
        <v>211</v>
      </c>
      <c r="I270" s="18">
        <v>2635</v>
      </c>
      <c r="J270" s="27">
        <v>21890</v>
      </c>
      <c r="K270" s="18">
        <v>184539</v>
      </c>
      <c r="L270" s="18" t="s">
        <v>37</v>
      </c>
    </row>
    <row r="271" spans="1:12" ht="15.75" thickBot="1" x14ac:dyDescent="0.3">
      <c r="A271" s="18" t="s">
        <v>295</v>
      </c>
      <c r="B271" s="18" t="s">
        <v>12</v>
      </c>
      <c r="C271" s="26" t="s">
        <v>525</v>
      </c>
      <c r="D271" s="18" t="s">
        <v>20</v>
      </c>
      <c r="E271" s="18" t="s">
        <v>398</v>
      </c>
      <c r="F271" s="18">
        <v>11333</v>
      </c>
      <c r="G271" s="18">
        <v>920</v>
      </c>
      <c r="H271" s="18">
        <v>294</v>
      </c>
      <c r="I271" s="18">
        <v>606</v>
      </c>
      <c r="J271" s="27">
        <v>59490</v>
      </c>
      <c r="K271" s="18">
        <v>202082</v>
      </c>
      <c r="L271" s="18" t="s">
        <v>21</v>
      </c>
    </row>
    <row r="272" spans="1:12" ht="15.75" thickBot="1" x14ac:dyDescent="0.3">
      <c r="A272" s="18" t="s">
        <v>296</v>
      </c>
      <c r="B272" s="18" t="s">
        <v>33</v>
      </c>
      <c r="C272" s="26" t="s">
        <v>558</v>
      </c>
      <c r="D272" s="18" t="s">
        <v>23</v>
      </c>
      <c r="E272" s="18" t="s">
        <v>400</v>
      </c>
      <c r="F272" s="18">
        <v>18608</v>
      </c>
      <c r="G272" s="18">
        <v>1338</v>
      </c>
      <c r="H272" s="18">
        <v>365</v>
      </c>
      <c r="I272" s="18">
        <v>2289</v>
      </c>
      <c r="J272" s="27">
        <v>20785</v>
      </c>
      <c r="K272" s="18">
        <v>161999</v>
      </c>
      <c r="L272" s="18" t="s">
        <v>14</v>
      </c>
    </row>
    <row r="273" spans="1:12" ht="15.75" thickBot="1" x14ac:dyDescent="0.3">
      <c r="A273" s="18" t="s">
        <v>297</v>
      </c>
      <c r="B273" s="18" t="s">
        <v>16</v>
      </c>
      <c r="C273" s="26" t="s">
        <v>559</v>
      </c>
      <c r="D273" s="18" t="s">
        <v>20</v>
      </c>
      <c r="E273" s="18" t="s">
        <v>419</v>
      </c>
      <c r="F273" s="18">
        <v>14819</v>
      </c>
      <c r="G273" s="18">
        <v>1432</v>
      </c>
      <c r="H273" s="18">
        <v>152</v>
      </c>
      <c r="I273" s="18">
        <v>961</v>
      </c>
      <c r="J273" s="27">
        <v>39154</v>
      </c>
      <c r="K273" s="18">
        <v>154793</v>
      </c>
      <c r="L273" s="18" t="s">
        <v>24</v>
      </c>
    </row>
    <row r="274" spans="1:12" ht="15.75" thickBot="1" x14ac:dyDescent="0.3">
      <c r="A274" s="18" t="s">
        <v>298</v>
      </c>
      <c r="B274" s="18" t="s">
        <v>16</v>
      </c>
      <c r="C274" s="26" t="s">
        <v>560</v>
      </c>
      <c r="D274" s="18" t="s">
        <v>13</v>
      </c>
      <c r="E274" s="18" t="s">
        <v>459</v>
      </c>
      <c r="F274" s="18">
        <v>6208</v>
      </c>
      <c r="G274" s="18">
        <v>725</v>
      </c>
      <c r="H274" s="18">
        <v>309</v>
      </c>
      <c r="I274" s="18">
        <v>848</v>
      </c>
      <c r="J274" s="27">
        <v>39319</v>
      </c>
      <c r="K274" s="18">
        <v>225763</v>
      </c>
      <c r="L274" s="18" t="s">
        <v>14</v>
      </c>
    </row>
    <row r="275" spans="1:12" ht="15.75" thickBot="1" x14ac:dyDescent="0.3">
      <c r="A275" s="18" t="s">
        <v>299</v>
      </c>
      <c r="B275" s="18" t="s">
        <v>16</v>
      </c>
      <c r="C275" s="26" t="s">
        <v>500</v>
      </c>
      <c r="D275" s="18" t="s">
        <v>23</v>
      </c>
      <c r="E275" s="18" t="s">
        <v>404</v>
      </c>
      <c r="F275" s="18">
        <v>8283</v>
      </c>
      <c r="G275" s="18">
        <v>720</v>
      </c>
      <c r="H275" s="18">
        <v>888</v>
      </c>
      <c r="I275" s="18">
        <v>611</v>
      </c>
      <c r="J275" s="27">
        <v>52791</v>
      </c>
      <c r="K275" s="18">
        <v>235229</v>
      </c>
      <c r="L275" s="18" t="s">
        <v>14</v>
      </c>
    </row>
    <row r="276" spans="1:12" ht="15.75" thickBot="1" x14ac:dyDescent="0.3">
      <c r="A276" s="18" t="s">
        <v>300</v>
      </c>
      <c r="B276" s="18" t="s">
        <v>19</v>
      </c>
      <c r="C276" s="26" t="s">
        <v>548</v>
      </c>
      <c r="D276" s="18" t="s">
        <v>20</v>
      </c>
      <c r="E276" s="18" t="s">
        <v>406</v>
      </c>
      <c r="F276" s="18">
        <v>4048</v>
      </c>
      <c r="G276" s="18">
        <v>751</v>
      </c>
      <c r="H276" s="18">
        <v>930</v>
      </c>
      <c r="I276" s="18">
        <v>1382</v>
      </c>
      <c r="J276" s="27">
        <v>16844</v>
      </c>
      <c r="K276" s="18">
        <v>148177</v>
      </c>
      <c r="L276" s="18" t="s">
        <v>24</v>
      </c>
    </row>
    <row r="277" spans="1:12" ht="15.75" thickBot="1" x14ac:dyDescent="0.3">
      <c r="A277" s="18" t="s">
        <v>301</v>
      </c>
      <c r="B277" s="18" t="s">
        <v>16</v>
      </c>
      <c r="C277" s="26" t="s">
        <v>561</v>
      </c>
      <c r="D277" s="18" t="s">
        <v>23</v>
      </c>
      <c r="E277" s="18" t="s">
        <v>402</v>
      </c>
      <c r="F277" s="18">
        <v>8233</v>
      </c>
      <c r="G277" s="18">
        <v>436</v>
      </c>
      <c r="H277" s="18">
        <v>269</v>
      </c>
      <c r="I277" s="18">
        <v>2037</v>
      </c>
      <c r="J277" s="27">
        <v>8875</v>
      </c>
      <c r="K277" s="18">
        <v>52289</v>
      </c>
      <c r="L277" s="18" t="s">
        <v>14</v>
      </c>
    </row>
    <row r="278" spans="1:12" ht="15.75" thickBot="1" x14ac:dyDescent="0.3">
      <c r="A278" s="18" t="s">
        <v>302</v>
      </c>
      <c r="B278" s="18" t="s">
        <v>19</v>
      </c>
      <c r="C278" s="26" t="s">
        <v>488</v>
      </c>
      <c r="D278" s="18" t="s">
        <v>13</v>
      </c>
      <c r="E278" s="18" t="s">
        <v>54</v>
      </c>
      <c r="F278" s="18">
        <v>14941</v>
      </c>
      <c r="G278" s="18">
        <v>1424</v>
      </c>
      <c r="H278" s="18">
        <v>238</v>
      </c>
      <c r="I278" s="18">
        <v>1054</v>
      </c>
      <c r="J278" s="27">
        <v>20516</v>
      </c>
      <c r="K278" s="18">
        <v>216048</v>
      </c>
      <c r="L278" s="18" t="s">
        <v>37</v>
      </c>
    </row>
    <row r="279" spans="1:12" ht="15.75" thickBot="1" x14ac:dyDescent="0.3">
      <c r="A279" s="18" t="s">
        <v>303</v>
      </c>
      <c r="B279" s="18" t="s">
        <v>33</v>
      </c>
      <c r="C279" s="26" t="s">
        <v>562</v>
      </c>
      <c r="D279" s="18" t="s">
        <v>23</v>
      </c>
      <c r="E279" s="18" t="s">
        <v>404</v>
      </c>
      <c r="F279" s="18">
        <v>14607</v>
      </c>
      <c r="G279" s="18">
        <v>1458</v>
      </c>
      <c r="H279" s="18">
        <v>478</v>
      </c>
      <c r="I279" s="18">
        <v>334</v>
      </c>
      <c r="J279" s="27">
        <v>49257</v>
      </c>
      <c r="K279" s="18">
        <v>214668</v>
      </c>
      <c r="L279" s="18" t="s">
        <v>24</v>
      </c>
    </row>
    <row r="280" spans="1:12" ht="15.75" thickBot="1" x14ac:dyDescent="0.3">
      <c r="A280" s="18" t="s">
        <v>304</v>
      </c>
      <c r="B280" s="18" t="s">
        <v>19</v>
      </c>
      <c r="C280" s="26" t="s">
        <v>454</v>
      </c>
      <c r="D280" s="18" t="s">
        <v>23</v>
      </c>
      <c r="E280" s="18" t="s">
        <v>402</v>
      </c>
      <c r="F280" s="18">
        <v>11765</v>
      </c>
      <c r="G280" s="18">
        <v>693</v>
      </c>
      <c r="H280" s="18">
        <v>729</v>
      </c>
      <c r="I280" s="18">
        <v>744</v>
      </c>
      <c r="J280" s="27">
        <v>97772</v>
      </c>
      <c r="K280" s="18">
        <v>194243</v>
      </c>
      <c r="L280" s="18" t="s">
        <v>14</v>
      </c>
    </row>
    <row r="281" spans="1:12" ht="15.75" thickBot="1" x14ac:dyDescent="0.3">
      <c r="A281" s="18" t="s">
        <v>305</v>
      </c>
      <c r="B281" s="18" t="s">
        <v>33</v>
      </c>
      <c r="C281" s="28">
        <v>45918</v>
      </c>
      <c r="D281" s="18" t="s">
        <v>23</v>
      </c>
      <c r="E281" s="18" t="s">
        <v>404</v>
      </c>
      <c r="F281" s="18">
        <v>3828</v>
      </c>
      <c r="G281" s="18">
        <v>203</v>
      </c>
      <c r="H281" s="18">
        <v>506</v>
      </c>
      <c r="I281" s="18">
        <v>2440</v>
      </c>
      <c r="J281" s="27">
        <v>63650</v>
      </c>
      <c r="K281" s="18">
        <v>126365</v>
      </c>
      <c r="L281" s="18" t="s">
        <v>17</v>
      </c>
    </row>
    <row r="282" spans="1:12" ht="15.75" thickBot="1" x14ac:dyDescent="0.3">
      <c r="A282" s="18" t="s">
        <v>306</v>
      </c>
      <c r="B282" s="18" t="s">
        <v>16</v>
      </c>
      <c r="C282" s="26" t="s">
        <v>563</v>
      </c>
      <c r="D282" s="18" t="s">
        <v>23</v>
      </c>
      <c r="E282" s="18" t="s">
        <v>415</v>
      </c>
      <c r="F282" s="18">
        <v>3917</v>
      </c>
      <c r="G282" s="18">
        <v>865</v>
      </c>
      <c r="H282" s="18">
        <v>759</v>
      </c>
      <c r="I282" s="18">
        <v>2282</v>
      </c>
      <c r="J282" s="27">
        <v>56125</v>
      </c>
      <c r="K282" s="18">
        <v>154014</v>
      </c>
      <c r="L282" s="18" t="s">
        <v>14</v>
      </c>
    </row>
    <row r="283" spans="1:12" ht="15.75" thickBot="1" x14ac:dyDescent="0.3">
      <c r="A283" s="18" t="s">
        <v>307</v>
      </c>
      <c r="B283" s="18" t="s">
        <v>16</v>
      </c>
      <c r="C283" s="26" t="s">
        <v>564</v>
      </c>
      <c r="D283" s="18" t="s">
        <v>13</v>
      </c>
      <c r="E283" s="18" t="s">
        <v>402</v>
      </c>
      <c r="F283" s="18">
        <v>22618</v>
      </c>
      <c r="G283" s="18">
        <v>641</v>
      </c>
      <c r="H283" s="18">
        <v>416</v>
      </c>
      <c r="I283" s="18">
        <v>1530</v>
      </c>
      <c r="J283" s="27">
        <v>18395</v>
      </c>
      <c r="K283" s="18">
        <v>215211</v>
      </c>
      <c r="L283" s="18" t="s">
        <v>37</v>
      </c>
    </row>
    <row r="284" spans="1:12" ht="15.75" thickBot="1" x14ac:dyDescent="0.3">
      <c r="A284" s="18" t="s">
        <v>308</v>
      </c>
      <c r="B284" s="18" t="s">
        <v>33</v>
      </c>
      <c r="C284" s="26" t="s">
        <v>565</v>
      </c>
      <c r="D284" s="18" t="s">
        <v>29</v>
      </c>
      <c r="E284" s="18" t="s">
        <v>406</v>
      </c>
      <c r="F284" s="18">
        <v>8988</v>
      </c>
      <c r="G284" s="18">
        <v>228</v>
      </c>
      <c r="H284" s="18">
        <v>766</v>
      </c>
      <c r="I284" s="18">
        <v>652</v>
      </c>
      <c r="J284" s="27">
        <v>63789</v>
      </c>
      <c r="K284" s="18">
        <v>219785</v>
      </c>
      <c r="L284" s="18" t="s">
        <v>21</v>
      </c>
    </row>
    <row r="285" spans="1:12" ht="15.75" thickBot="1" x14ac:dyDescent="0.3">
      <c r="A285" s="18" t="s">
        <v>309</v>
      </c>
      <c r="B285" s="18" t="s">
        <v>12</v>
      </c>
      <c r="C285" s="26" t="s">
        <v>424</v>
      </c>
      <c r="D285" s="18" t="s">
        <v>23</v>
      </c>
      <c r="E285" s="18" t="s">
        <v>404</v>
      </c>
      <c r="F285" s="18">
        <v>20410</v>
      </c>
      <c r="G285" s="18">
        <v>1332</v>
      </c>
      <c r="H285" s="18">
        <v>472</v>
      </c>
      <c r="I285" s="18">
        <v>1202</v>
      </c>
      <c r="J285" s="27">
        <v>9418</v>
      </c>
      <c r="K285" s="18">
        <v>200806</v>
      </c>
      <c r="L285" s="18" t="s">
        <v>14</v>
      </c>
    </row>
    <row r="286" spans="1:12" ht="15.75" thickBot="1" x14ac:dyDescent="0.3">
      <c r="A286" s="18" t="s">
        <v>310</v>
      </c>
      <c r="B286" s="18" t="s">
        <v>33</v>
      </c>
      <c r="C286" s="26" t="s">
        <v>545</v>
      </c>
      <c r="D286" s="18" t="s">
        <v>23</v>
      </c>
      <c r="E286" s="18" t="s">
        <v>397</v>
      </c>
      <c r="F286" s="18">
        <v>16594</v>
      </c>
      <c r="G286" s="18">
        <v>809</v>
      </c>
      <c r="H286" s="18">
        <v>784</v>
      </c>
      <c r="I286" s="18">
        <v>1655</v>
      </c>
      <c r="J286" s="27">
        <v>35505</v>
      </c>
      <c r="K286" s="18">
        <v>112588</v>
      </c>
      <c r="L286" s="18" t="s">
        <v>21</v>
      </c>
    </row>
    <row r="287" spans="1:12" ht="15.75" thickBot="1" x14ac:dyDescent="0.3">
      <c r="A287" s="18" t="s">
        <v>311</v>
      </c>
      <c r="B287" s="18" t="s">
        <v>12</v>
      </c>
      <c r="C287" s="28">
        <v>45919</v>
      </c>
      <c r="D287" s="18" t="s">
        <v>20</v>
      </c>
      <c r="E287" s="18" t="s">
        <v>406</v>
      </c>
      <c r="F287" s="18">
        <v>22128</v>
      </c>
      <c r="G287" s="18">
        <v>1004</v>
      </c>
      <c r="H287" s="18">
        <v>690</v>
      </c>
      <c r="I287" s="18">
        <v>2048</v>
      </c>
      <c r="J287" s="27">
        <v>19443</v>
      </c>
      <c r="K287" s="18">
        <v>103646</v>
      </c>
      <c r="L287" s="18" t="s">
        <v>17</v>
      </c>
    </row>
    <row r="288" spans="1:12" ht="15.75" thickBot="1" x14ac:dyDescent="0.3">
      <c r="A288" s="18" t="s">
        <v>312</v>
      </c>
      <c r="B288" s="18" t="s">
        <v>19</v>
      </c>
      <c r="C288" s="26" t="s">
        <v>523</v>
      </c>
      <c r="D288" s="18" t="s">
        <v>23</v>
      </c>
      <c r="E288" s="18" t="s">
        <v>402</v>
      </c>
      <c r="F288" s="18">
        <v>14977</v>
      </c>
      <c r="G288" s="18">
        <v>274</v>
      </c>
      <c r="H288" s="18">
        <v>798</v>
      </c>
      <c r="I288" s="18">
        <v>458</v>
      </c>
      <c r="J288" s="27">
        <v>6636</v>
      </c>
      <c r="K288" s="18">
        <v>43654</v>
      </c>
      <c r="L288" s="18" t="s">
        <v>14</v>
      </c>
    </row>
    <row r="289" spans="1:12" ht="15.75" thickBot="1" x14ac:dyDescent="0.3">
      <c r="A289" s="18" t="s">
        <v>313</v>
      </c>
      <c r="B289" s="18" t="s">
        <v>19</v>
      </c>
      <c r="C289" s="26" t="s">
        <v>566</v>
      </c>
      <c r="D289" s="18" t="s">
        <v>20</v>
      </c>
      <c r="E289" s="18" t="s">
        <v>406</v>
      </c>
      <c r="F289" s="18">
        <v>2009</v>
      </c>
      <c r="G289" s="18">
        <v>1037</v>
      </c>
      <c r="H289" s="18">
        <v>344</v>
      </c>
      <c r="I289" s="18">
        <v>2277</v>
      </c>
      <c r="J289" s="27">
        <v>85743</v>
      </c>
      <c r="K289" s="18">
        <v>58743</v>
      </c>
      <c r="L289" s="18" t="s">
        <v>24</v>
      </c>
    </row>
    <row r="290" spans="1:12" ht="15.75" thickBot="1" x14ac:dyDescent="0.3">
      <c r="A290" s="18" t="s">
        <v>314</v>
      </c>
      <c r="B290" s="18" t="s">
        <v>19</v>
      </c>
      <c r="C290" s="26" t="s">
        <v>493</v>
      </c>
      <c r="D290" s="18" t="s">
        <v>29</v>
      </c>
      <c r="E290" s="18" t="s">
        <v>404</v>
      </c>
      <c r="F290" s="18">
        <v>18644</v>
      </c>
      <c r="G290" s="18">
        <v>1369</v>
      </c>
      <c r="H290" s="18">
        <v>887</v>
      </c>
      <c r="I290" s="18">
        <v>1256</v>
      </c>
      <c r="J290" s="27">
        <v>43415</v>
      </c>
      <c r="K290" s="18">
        <v>88368</v>
      </c>
      <c r="L290" s="18" t="s">
        <v>21</v>
      </c>
    </row>
    <row r="291" spans="1:12" ht="15.75" thickBot="1" x14ac:dyDescent="0.3">
      <c r="A291" s="18" t="s">
        <v>315</v>
      </c>
      <c r="B291" s="18" t="s">
        <v>16</v>
      </c>
      <c r="C291" s="28">
        <v>45920</v>
      </c>
      <c r="D291" s="18" t="s">
        <v>13</v>
      </c>
      <c r="E291" s="18" t="s">
        <v>27</v>
      </c>
      <c r="F291" s="18">
        <v>24422</v>
      </c>
      <c r="G291" s="18">
        <v>327</v>
      </c>
      <c r="H291" s="18">
        <v>481</v>
      </c>
      <c r="I291" s="18">
        <v>2371</v>
      </c>
      <c r="J291" s="27">
        <v>35340</v>
      </c>
      <c r="K291" s="18">
        <v>245244</v>
      </c>
      <c r="L291" s="18" t="s">
        <v>17</v>
      </c>
    </row>
    <row r="292" spans="1:12" ht="15.75" thickBot="1" x14ac:dyDescent="0.3">
      <c r="A292" s="18" t="s">
        <v>316</v>
      </c>
      <c r="B292" s="18" t="s">
        <v>19</v>
      </c>
      <c r="C292" s="26" t="s">
        <v>421</v>
      </c>
      <c r="D292" s="18" t="s">
        <v>13</v>
      </c>
      <c r="E292" s="18" t="s">
        <v>404</v>
      </c>
      <c r="F292" s="18">
        <v>11865</v>
      </c>
      <c r="G292" s="18">
        <v>241</v>
      </c>
      <c r="H292" s="18">
        <v>319</v>
      </c>
      <c r="I292" s="18">
        <v>703</v>
      </c>
      <c r="J292" s="27">
        <v>69596</v>
      </c>
      <c r="K292" s="18">
        <v>177513</v>
      </c>
      <c r="L292" s="18" t="s">
        <v>24</v>
      </c>
    </row>
    <row r="293" spans="1:12" ht="15.75" thickBot="1" x14ac:dyDescent="0.3">
      <c r="A293" s="18" t="s">
        <v>317</v>
      </c>
      <c r="B293" s="18" t="s">
        <v>12</v>
      </c>
      <c r="C293" s="26" t="s">
        <v>567</v>
      </c>
      <c r="D293" s="18" t="s">
        <v>29</v>
      </c>
      <c r="E293" s="18" t="s">
        <v>404</v>
      </c>
      <c r="F293" s="18">
        <v>4219</v>
      </c>
      <c r="G293" s="18">
        <v>240</v>
      </c>
      <c r="H293" s="18">
        <v>670</v>
      </c>
      <c r="I293" s="18">
        <v>815</v>
      </c>
      <c r="J293" s="27">
        <v>11978</v>
      </c>
      <c r="K293" s="18">
        <v>159735</v>
      </c>
      <c r="L293" s="18" t="s">
        <v>24</v>
      </c>
    </row>
    <row r="294" spans="1:12" ht="15.75" thickBot="1" x14ac:dyDescent="0.3">
      <c r="A294" s="18" t="s">
        <v>318</v>
      </c>
      <c r="B294" s="18" t="s">
        <v>19</v>
      </c>
      <c r="C294" s="26" t="s">
        <v>568</v>
      </c>
      <c r="D294" s="18" t="s">
        <v>13</v>
      </c>
      <c r="E294" s="18" t="s">
        <v>415</v>
      </c>
      <c r="F294" s="18">
        <v>9041</v>
      </c>
      <c r="G294" s="18">
        <v>1133</v>
      </c>
      <c r="H294" s="18">
        <v>612</v>
      </c>
      <c r="I294" s="18">
        <v>1687</v>
      </c>
      <c r="J294" s="27">
        <v>28102</v>
      </c>
      <c r="K294" s="18">
        <v>195683</v>
      </c>
      <c r="L294" s="18" t="s">
        <v>24</v>
      </c>
    </row>
    <row r="295" spans="1:12" ht="15.75" thickBot="1" x14ac:dyDescent="0.3">
      <c r="A295" s="18" t="s">
        <v>319</v>
      </c>
      <c r="B295" s="18" t="s">
        <v>33</v>
      </c>
      <c r="C295" s="26" t="s">
        <v>569</v>
      </c>
      <c r="D295" s="18" t="s">
        <v>29</v>
      </c>
      <c r="E295" s="18" t="s">
        <v>419</v>
      </c>
      <c r="F295" s="18">
        <v>20444</v>
      </c>
      <c r="G295" s="18">
        <v>233</v>
      </c>
      <c r="H295" s="18">
        <v>189</v>
      </c>
      <c r="I295" s="18">
        <v>2879</v>
      </c>
      <c r="J295" s="27">
        <v>28185</v>
      </c>
      <c r="K295" s="18">
        <v>159891</v>
      </c>
      <c r="L295" s="18" t="s">
        <v>24</v>
      </c>
    </row>
    <row r="296" spans="1:12" ht="15.75" thickBot="1" x14ac:dyDescent="0.3">
      <c r="A296" s="18" t="s">
        <v>320</v>
      </c>
      <c r="B296" s="18" t="s">
        <v>33</v>
      </c>
      <c r="C296" s="26" t="s">
        <v>570</v>
      </c>
      <c r="D296" s="18" t="s">
        <v>29</v>
      </c>
      <c r="E296" s="18" t="s">
        <v>397</v>
      </c>
      <c r="F296" s="18">
        <v>7287</v>
      </c>
      <c r="G296" s="18">
        <v>1240</v>
      </c>
      <c r="H296" s="18">
        <v>686</v>
      </c>
      <c r="I296" s="18">
        <v>1255</v>
      </c>
      <c r="J296" s="27">
        <v>15403</v>
      </c>
      <c r="K296" s="18">
        <v>147971</v>
      </c>
      <c r="L296" s="18" t="s">
        <v>14</v>
      </c>
    </row>
    <row r="297" spans="1:12" ht="15.75" thickBot="1" x14ac:dyDescent="0.3">
      <c r="A297" s="18" t="s">
        <v>321</v>
      </c>
      <c r="B297" s="18" t="s">
        <v>16</v>
      </c>
      <c r="C297" s="26" t="s">
        <v>571</v>
      </c>
      <c r="D297" s="18" t="s">
        <v>29</v>
      </c>
      <c r="E297" s="18" t="s">
        <v>459</v>
      </c>
      <c r="F297" s="18">
        <v>3619</v>
      </c>
      <c r="G297" s="18">
        <v>1376</v>
      </c>
      <c r="H297" s="18">
        <v>410</v>
      </c>
      <c r="I297" s="18">
        <v>2499</v>
      </c>
      <c r="J297" s="27">
        <v>58146</v>
      </c>
      <c r="K297" s="18">
        <v>52149</v>
      </c>
      <c r="L297" s="18" t="s">
        <v>14</v>
      </c>
    </row>
    <row r="298" spans="1:12" ht="15.75" thickBot="1" x14ac:dyDescent="0.3">
      <c r="A298" s="18" t="s">
        <v>322</v>
      </c>
      <c r="B298" s="18" t="s">
        <v>33</v>
      </c>
      <c r="C298" s="26" t="s">
        <v>572</v>
      </c>
      <c r="D298" s="18" t="s">
        <v>13</v>
      </c>
      <c r="E298" s="18" t="s">
        <v>54</v>
      </c>
      <c r="F298" s="18">
        <v>10512</v>
      </c>
      <c r="G298" s="18">
        <v>1197</v>
      </c>
      <c r="H298" s="18">
        <v>544</v>
      </c>
      <c r="I298" s="18">
        <v>2012</v>
      </c>
      <c r="J298" s="27">
        <v>10245</v>
      </c>
      <c r="K298" s="18">
        <v>140102</v>
      </c>
      <c r="L298" s="18" t="s">
        <v>14</v>
      </c>
    </row>
    <row r="299" spans="1:12" ht="15.75" thickBot="1" x14ac:dyDescent="0.3">
      <c r="A299" s="18" t="s">
        <v>323</v>
      </c>
      <c r="B299" s="18" t="s">
        <v>12</v>
      </c>
      <c r="C299" s="29">
        <v>45924</v>
      </c>
      <c r="D299" s="18" t="s">
        <v>20</v>
      </c>
      <c r="E299" s="18" t="s">
        <v>409</v>
      </c>
      <c r="F299" s="18">
        <v>3342</v>
      </c>
      <c r="G299" s="18">
        <v>787</v>
      </c>
      <c r="H299" s="18">
        <v>375</v>
      </c>
      <c r="I299" s="18">
        <v>907</v>
      </c>
      <c r="J299" s="27">
        <v>85823</v>
      </c>
      <c r="K299" s="18">
        <v>99189</v>
      </c>
      <c r="L299" s="18" t="s">
        <v>17</v>
      </c>
    </row>
    <row r="300" spans="1:12" ht="15.75" thickBot="1" x14ac:dyDescent="0.3">
      <c r="A300" s="18" t="s">
        <v>324</v>
      </c>
      <c r="B300" s="18" t="s">
        <v>19</v>
      </c>
      <c r="C300" s="29">
        <v>45925</v>
      </c>
      <c r="D300" s="18" t="s">
        <v>29</v>
      </c>
      <c r="E300" s="18" t="s">
        <v>419</v>
      </c>
      <c r="F300" s="18">
        <v>12568</v>
      </c>
      <c r="G300" s="18">
        <v>541</v>
      </c>
      <c r="H300" s="18">
        <v>273</v>
      </c>
      <c r="I300" s="18">
        <v>2767</v>
      </c>
      <c r="J300" s="27">
        <v>22331</v>
      </c>
      <c r="K300" s="18">
        <v>192747</v>
      </c>
      <c r="L300" s="18" t="s">
        <v>17</v>
      </c>
    </row>
    <row r="301" spans="1:12" ht="15.75" thickBot="1" x14ac:dyDescent="0.3">
      <c r="A301" s="18" t="s">
        <v>325</v>
      </c>
      <c r="B301" s="18" t="s">
        <v>16</v>
      </c>
      <c r="C301" s="29">
        <v>45926</v>
      </c>
      <c r="D301" s="18" t="s">
        <v>23</v>
      </c>
      <c r="E301" s="18" t="s">
        <v>409</v>
      </c>
      <c r="F301" s="18">
        <v>21216</v>
      </c>
      <c r="G301" s="18">
        <v>226</v>
      </c>
      <c r="H301" s="18">
        <v>187</v>
      </c>
      <c r="I301" s="18">
        <v>1573</v>
      </c>
      <c r="J301" s="27">
        <v>62688</v>
      </c>
      <c r="K301" s="18">
        <v>111031</v>
      </c>
      <c r="L301" s="1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5BF1-3A8F-414F-B2ED-F65910CA8C1B}">
  <dimension ref="A1:G202"/>
  <sheetViews>
    <sheetView workbookViewId="0">
      <selection activeCell="J204" sqref="J204"/>
    </sheetView>
  </sheetViews>
  <sheetFormatPr defaultRowHeight="15" x14ac:dyDescent="0.25"/>
  <cols>
    <col min="1" max="1" width="19" style="2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bestFit="1" customWidth="1"/>
  </cols>
  <sheetData>
    <row r="1" spans="1:7" x14ac:dyDescent="0.25">
      <c r="A1" s="8" t="s">
        <v>326</v>
      </c>
      <c r="B1" s="7" t="s">
        <v>1</v>
      </c>
      <c r="C1" s="7" t="s">
        <v>327</v>
      </c>
      <c r="D1" s="7" t="s">
        <v>328</v>
      </c>
      <c r="E1" s="7" t="s">
        <v>329</v>
      </c>
      <c r="F1" s="7" t="s">
        <v>330</v>
      </c>
      <c r="G1" s="7" t="s">
        <v>331</v>
      </c>
    </row>
    <row r="2" spans="1:7" x14ac:dyDescent="0.25">
      <c r="A2" s="2">
        <v>45446</v>
      </c>
      <c r="B2" t="s">
        <v>19</v>
      </c>
      <c r="C2">
        <v>4138</v>
      </c>
      <c r="D2">
        <v>361</v>
      </c>
      <c r="E2">
        <v>103777</v>
      </c>
      <c r="F2" s="9">
        <v>56.637790647253247</v>
      </c>
      <c r="G2">
        <v>23944</v>
      </c>
    </row>
    <row r="3" spans="1:7" x14ac:dyDescent="0.25">
      <c r="A3" s="2">
        <v>45446</v>
      </c>
      <c r="B3" t="s">
        <v>33</v>
      </c>
      <c r="C3">
        <v>8693</v>
      </c>
      <c r="D3">
        <v>1261</v>
      </c>
      <c r="E3">
        <v>111209</v>
      </c>
      <c r="F3" s="9">
        <v>69.475492091467416</v>
      </c>
      <c r="G3">
        <v>29873</v>
      </c>
    </row>
    <row r="4" spans="1:7" x14ac:dyDescent="0.25">
      <c r="A4" s="2">
        <v>45446</v>
      </c>
      <c r="B4" t="s">
        <v>12</v>
      </c>
      <c r="C4">
        <v>9264</v>
      </c>
      <c r="D4">
        <v>1141</v>
      </c>
      <c r="E4">
        <v>119332</v>
      </c>
      <c r="F4" s="9">
        <v>92.312204605638044</v>
      </c>
      <c r="G4">
        <v>50372</v>
      </c>
    </row>
    <row r="5" spans="1:7" x14ac:dyDescent="0.25">
      <c r="A5" s="2">
        <v>45446</v>
      </c>
      <c r="B5" t="s">
        <v>12</v>
      </c>
      <c r="C5">
        <v>8842</v>
      </c>
      <c r="D5">
        <v>971</v>
      </c>
      <c r="E5">
        <v>127203</v>
      </c>
      <c r="F5" s="9">
        <v>16.351815601833291</v>
      </c>
      <c r="G5">
        <v>33928</v>
      </c>
    </row>
    <row r="6" spans="1:7" x14ac:dyDescent="0.25">
      <c r="A6" s="2">
        <v>45453</v>
      </c>
      <c r="B6" t="s">
        <v>19</v>
      </c>
      <c r="C6">
        <v>7721</v>
      </c>
      <c r="D6">
        <v>506</v>
      </c>
      <c r="E6">
        <v>134418</v>
      </c>
      <c r="F6" s="9">
        <v>35.577824398518047</v>
      </c>
      <c r="G6">
        <v>25379</v>
      </c>
    </row>
    <row r="7" spans="1:7" x14ac:dyDescent="0.25">
      <c r="A7" s="2">
        <v>45453</v>
      </c>
      <c r="B7" t="s">
        <v>12</v>
      </c>
      <c r="C7">
        <v>8002</v>
      </c>
      <c r="D7">
        <v>524</v>
      </c>
      <c r="E7">
        <v>141896</v>
      </c>
      <c r="F7" s="9">
        <v>52.064892597395271</v>
      </c>
      <c r="G7">
        <v>46751</v>
      </c>
    </row>
    <row r="8" spans="1:7" x14ac:dyDescent="0.25">
      <c r="A8" s="2">
        <v>45453</v>
      </c>
      <c r="B8" t="s">
        <v>33</v>
      </c>
      <c r="C8">
        <v>5225</v>
      </c>
      <c r="D8">
        <v>291</v>
      </c>
      <c r="E8">
        <v>146830</v>
      </c>
      <c r="F8" s="9">
        <v>19.551862698358651</v>
      </c>
      <c r="G8">
        <v>44546</v>
      </c>
    </row>
    <row r="9" spans="1:7" x14ac:dyDescent="0.25">
      <c r="A9" s="2">
        <v>45453</v>
      </c>
      <c r="B9" t="s">
        <v>33</v>
      </c>
      <c r="C9">
        <v>3978</v>
      </c>
      <c r="D9">
        <v>543</v>
      </c>
      <c r="E9">
        <v>150265</v>
      </c>
      <c r="F9" s="9">
        <v>49.159817655475329</v>
      </c>
      <c r="G9">
        <v>34286</v>
      </c>
    </row>
    <row r="10" spans="1:7" x14ac:dyDescent="0.25">
      <c r="A10" s="2">
        <v>45460</v>
      </c>
      <c r="B10" t="s">
        <v>19</v>
      </c>
      <c r="C10">
        <v>8373</v>
      </c>
      <c r="D10">
        <v>921</v>
      </c>
      <c r="E10">
        <v>157717</v>
      </c>
      <c r="F10" s="9">
        <v>12.2263294381709</v>
      </c>
      <c r="G10">
        <v>15110</v>
      </c>
    </row>
    <row r="11" spans="1:7" x14ac:dyDescent="0.25">
      <c r="A11" s="2">
        <v>45460</v>
      </c>
      <c r="B11" t="s">
        <v>33</v>
      </c>
      <c r="C11">
        <v>6907</v>
      </c>
      <c r="D11">
        <v>834</v>
      </c>
      <c r="E11">
        <v>163790</v>
      </c>
      <c r="F11" s="9">
        <v>54.158984064961238</v>
      </c>
      <c r="G11">
        <v>22087</v>
      </c>
    </row>
    <row r="12" spans="1:7" x14ac:dyDescent="0.25">
      <c r="A12" s="2">
        <v>45460</v>
      </c>
      <c r="B12" t="s">
        <v>16</v>
      </c>
      <c r="C12">
        <v>7097</v>
      </c>
      <c r="D12">
        <v>369</v>
      </c>
      <c r="E12">
        <v>170518</v>
      </c>
      <c r="F12" s="9">
        <v>9.2506362964613711</v>
      </c>
      <c r="G12">
        <v>33762</v>
      </c>
    </row>
    <row r="13" spans="1:7" x14ac:dyDescent="0.25">
      <c r="A13" s="2">
        <v>45460</v>
      </c>
      <c r="B13" t="s">
        <v>19</v>
      </c>
      <c r="C13">
        <v>6656</v>
      </c>
      <c r="D13">
        <v>978</v>
      </c>
      <c r="E13">
        <v>176196</v>
      </c>
      <c r="F13" s="9">
        <v>60.425889350496043</v>
      </c>
      <c r="G13">
        <v>27081</v>
      </c>
    </row>
    <row r="14" spans="1:7" x14ac:dyDescent="0.25">
      <c r="A14" s="2">
        <v>45467</v>
      </c>
      <c r="B14" t="s">
        <v>33</v>
      </c>
      <c r="C14">
        <v>9984</v>
      </c>
      <c r="D14">
        <v>1330</v>
      </c>
      <c r="E14">
        <v>184850</v>
      </c>
      <c r="F14" s="9">
        <v>57.524479307546663</v>
      </c>
      <c r="G14">
        <v>44947</v>
      </c>
    </row>
    <row r="15" spans="1:7" x14ac:dyDescent="0.25">
      <c r="A15" s="2">
        <v>45467</v>
      </c>
      <c r="B15" t="s">
        <v>19</v>
      </c>
      <c r="C15">
        <v>5259</v>
      </c>
      <c r="D15">
        <v>374</v>
      </c>
      <c r="E15">
        <v>189735</v>
      </c>
      <c r="F15" s="9">
        <v>14.827522597306769</v>
      </c>
      <c r="G15">
        <v>19596</v>
      </c>
    </row>
    <row r="16" spans="1:7" x14ac:dyDescent="0.25">
      <c r="A16" s="2">
        <v>45467</v>
      </c>
      <c r="B16" t="s">
        <v>12</v>
      </c>
      <c r="C16">
        <v>9286</v>
      </c>
      <c r="D16">
        <v>633</v>
      </c>
      <c r="E16">
        <v>198388</v>
      </c>
      <c r="F16" s="9">
        <v>5.4343004617214756</v>
      </c>
      <c r="G16">
        <v>48019</v>
      </c>
    </row>
    <row r="17" spans="1:7" x14ac:dyDescent="0.25">
      <c r="A17" s="2">
        <v>45467</v>
      </c>
      <c r="B17" t="s">
        <v>33</v>
      </c>
      <c r="C17">
        <v>6901</v>
      </c>
      <c r="D17">
        <v>471</v>
      </c>
      <c r="E17">
        <v>204818</v>
      </c>
      <c r="F17" s="9">
        <v>60.827661631301943</v>
      </c>
      <c r="G17">
        <v>52003</v>
      </c>
    </row>
    <row r="18" spans="1:7" x14ac:dyDescent="0.25">
      <c r="A18" s="2">
        <v>45474</v>
      </c>
      <c r="B18" t="s">
        <v>16</v>
      </c>
      <c r="C18">
        <v>5917</v>
      </c>
      <c r="D18">
        <v>475</v>
      </c>
      <c r="E18">
        <v>210260</v>
      </c>
      <c r="F18" s="9">
        <v>17.894035955483691</v>
      </c>
      <c r="G18">
        <v>28313</v>
      </c>
    </row>
    <row r="19" spans="1:7" x14ac:dyDescent="0.25">
      <c r="A19" s="2">
        <v>45474</v>
      </c>
      <c r="B19" t="s">
        <v>33</v>
      </c>
      <c r="C19">
        <v>9429</v>
      </c>
      <c r="D19">
        <v>966</v>
      </c>
      <c r="E19">
        <v>218723</v>
      </c>
      <c r="F19" s="9">
        <v>7.6914636320825887</v>
      </c>
      <c r="G19">
        <v>57639</v>
      </c>
    </row>
    <row r="20" spans="1:7" x14ac:dyDescent="0.25">
      <c r="A20" s="2">
        <v>45474</v>
      </c>
      <c r="B20" t="s">
        <v>19</v>
      </c>
      <c r="C20">
        <v>3530</v>
      </c>
      <c r="D20">
        <v>328</v>
      </c>
      <c r="E20">
        <v>221925</v>
      </c>
      <c r="F20" s="9">
        <v>12.8372197814577</v>
      </c>
      <c r="G20">
        <v>11013</v>
      </c>
    </row>
    <row r="21" spans="1:7" x14ac:dyDescent="0.25">
      <c r="A21" s="2">
        <v>45474</v>
      </c>
      <c r="B21" t="s">
        <v>19</v>
      </c>
      <c r="C21">
        <v>2960</v>
      </c>
      <c r="D21">
        <v>234</v>
      </c>
      <c r="E21">
        <v>224651</v>
      </c>
      <c r="F21" s="9">
        <v>17.41278694508371</v>
      </c>
      <c r="G21">
        <v>59378</v>
      </c>
    </row>
    <row r="22" spans="1:7" x14ac:dyDescent="0.25">
      <c r="A22" s="2">
        <v>45481</v>
      </c>
      <c r="B22" t="s">
        <v>33</v>
      </c>
      <c r="C22">
        <v>8045</v>
      </c>
      <c r="D22">
        <v>894</v>
      </c>
      <c r="E22">
        <v>231802</v>
      </c>
      <c r="F22" s="9">
        <v>47.634187798207087</v>
      </c>
      <c r="G22">
        <v>33705</v>
      </c>
    </row>
    <row r="23" spans="1:7" x14ac:dyDescent="0.25">
      <c r="A23" s="2">
        <v>45481</v>
      </c>
      <c r="B23" t="s">
        <v>16</v>
      </c>
      <c r="C23">
        <v>2048</v>
      </c>
      <c r="D23">
        <v>130</v>
      </c>
      <c r="E23">
        <v>233720</v>
      </c>
      <c r="F23" s="9">
        <v>39.284614068115687</v>
      </c>
      <c r="G23">
        <v>11828</v>
      </c>
    </row>
    <row r="24" spans="1:7" x14ac:dyDescent="0.25">
      <c r="A24" s="2">
        <v>45481</v>
      </c>
      <c r="B24" t="s">
        <v>16</v>
      </c>
      <c r="C24">
        <v>6772</v>
      </c>
      <c r="D24">
        <v>536</v>
      </c>
      <c r="E24">
        <v>239956</v>
      </c>
      <c r="F24" s="9">
        <v>9.8205504342462788</v>
      </c>
      <c r="G24">
        <v>17909</v>
      </c>
    </row>
    <row r="25" spans="1:7" x14ac:dyDescent="0.25">
      <c r="A25" s="2">
        <v>45481</v>
      </c>
      <c r="B25" t="s">
        <v>16</v>
      </c>
      <c r="C25">
        <v>3529</v>
      </c>
      <c r="D25">
        <v>305</v>
      </c>
      <c r="E25">
        <v>243180</v>
      </c>
      <c r="F25" s="9">
        <v>41.606628834608109</v>
      </c>
      <c r="G25">
        <v>48356</v>
      </c>
    </row>
    <row r="26" spans="1:7" x14ac:dyDescent="0.25">
      <c r="A26" s="2">
        <v>45488</v>
      </c>
      <c r="B26" t="s">
        <v>19</v>
      </c>
      <c r="C26">
        <v>3964</v>
      </c>
      <c r="D26">
        <v>378</v>
      </c>
      <c r="E26">
        <v>246766</v>
      </c>
      <c r="F26" s="9">
        <v>13.6355899921383</v>
      </c>
      <c r="G26">
        <v>23109</v>
      </c>
    </row>
    <row r="27" spans="1:7" x14ac:dyDescent="0.25">
      <c r="A27" s="2">
        <v>45488</v>
      </c>
      <c r="B27" t="s">
        <v>33</v>
      </c>
      <c r="C27">
        <v>8137</v>
      </c>
      <c r="D27">
        <v>1045</v>
      </c>
      <c r="E27">
        <v>253858</v>
      </c>
      <c r="F27" s="9">
        <v>20.47246886054408</v>
      </c>
      <c r="G27">
        <v>12023</v>
      </c>
    </row>
    <row r="28" spans="1:7" x14ac:dyDescent="0.25">
      <c r="A28" s="2">
        <v>45488</v>
      </c>
      <c r="B28" t="s">
        <v>12</v>
      </c>
      <c r="C28">
        <v>1963</v>
      </c>
      <c r="D28">
        <v>137</v>
      </c>
      <c r="E28">
        <v>255684</v>
      </c>
      <c r="F28" s="9">
        <v>11.2083665774941</v>
      </c>
      <c r="G28">
        <v>24537</v>
      </c>
    </row>
    <row r="29" spans="1:7" x14ac:dyDescent="0.25">
      <c r="A29" s="2">
        <v>45488</v>
      </c>
      <c r="B29" t="s">
        <v>19</v>
      </c>
      <c r="C29">
        <v>1536</v>
      </c>
      <c r="D29">
        <v>155</v>
      </c>
      <c r="E29">
        <v>257065</v>
      </c>
      <c r="F29" s="9">
        <v>12.15762550327738</v>
      </c>
      <c r="G29">
        <v>36661</v>
      </c>
    </row>
    <row r="30" spans="1:7" x14ac:dyDescent="0.25">
      <c r="A30" s="2">
        <v>45495</v>
      </c>
      <c r="B30" t="s">
        <v>16</v>
      </c>
      <c r="C30">
        <v>8340</v>
      </c>
      <c r="D30">
        <v>911</v>
      </c>
      <c r="E30">
        <v>264494</v>
      </c>
      <c r="F30" s="9">
        <v>37.302925586213682</v>
      </c>
      <c r="G30">
        <v>48659</v>
      </c>
    </row>
    <row r="31" spans="1:7" x14ac:dyDescent="0.25">
      <c r="A31" s="2">
        <v>45495</v>
      </c>
      <c r="B31" t="s">
        <v>33</v>
      </c>
      <c r="C31">
        <v>8179</v>
      </c>
      <c r="D31">
        <v>446</v>
      </c>
      <c r="E31">
        <v>272227</v>
      </c>
      <c r="F31" s="9">
        <v>41.82171496581897</v>
      </c>
      <c r="G31">
        <v>43848</v>
      </c>
    </row>
    <row r="32" spans="1:7" x14ac:dyDescent="0.25">
      <c r="A32" s="2">
        <v>45495</v>
      </c>
      <c r="B32" t="s">
        <v>16</v>
      </c>
      <c r="C32">
        <v>8967</v>
      </c>
      <c r="D32">
        <v>993</v>
      </c>
      <c r="E32">
        <v>280201</v>
      </c>
      <c r="F32" s="9">
        <v>52.792102811910027</v>
      </c>
      <c r="G32">
        <v>47804</v>
      </c>
    </row>
    <row r="33" spans="1:7" x14ac:dyDescent="0.25">
      <c r="A33" s="2">
        <v>45495</v>
      </c>
      <c r="B33" t="s">
        <v>12</v>
      </c>
      <c r="C33">
        <v>9734</v>
      </c>
      <c r="D33">
        <v>652</v>
      </c>
      <c r="E33">
        <v>289283</v>
      </c>
      <c r="F33" s="9">
        <v>49.647922622483861</v>
      </c>
      <c r="G33">
        <v>25379</v>
      </c>
    </row>
    <row r="34" spans="1:7" x14ac:dyDescent="0.25">
      <c r="A34" s="2">
        <v>45502</v>
      </c>
      <c r="B34" t="s">
        <v>16</v>
      </c>
      <c r="C34">
        <v>1845</v>
      </c>
      <c r="D34">
        <v>104</v>
      </c>
      <c r="E34">
        <v>291024</v>
      </c>
      <c r="F34" s="9">
        <v>28.158158777282971</v>
      </c>
      <c r="G34">
        <v>37766</v>
      </c>
    </row>
    <row r="35" spans="1:7" x14ac:dyDescent="0.25">
      <c r="A35" s="2">
        <v>45502</v>
      </c>
      <c r="B35" t="s">
        <v>16</v>
      </c>
      <c r="C35">
        <v>6777</v>
      </c>
      <c r="D35">
        <v>981</v>
      </c>
      <c r="E35">
        <v>296820</v>
      </c>
      <c r="F35" s="9">
        <v>23.920557913887201</v>
      </c>
      <c r="G35">
        <v>53590</v>
      </c>
    </row>
    <row r="36" spans="1:7" x14ac:dyDescent="0.25">
      <c r="A36" s="2">
        <v>45502</v>
      </c>
      <c r="B36" t="s">
        <v>12</v>
      </c>
      <c r="C36">
        <v>4036</v>
      </c>
      <c r="D36">
        <v>591</v>
      </c>
      <c r="E36">
        <v>300265</v>
      </c>
      <c r="F36" s="9">
        <v>44.219272975538267</v>
      </c>
      <c r="G36">
        <v>12563</v>
      </c>
    </row>
    <row r="37" spans="1:7" x14ac:dyDescent="0.25">
      <c r="A37" s="2">
        <v>45502</v>
      </c>
      <c r="B37" t="s">
        <v>33</v>
      </c>
      <c r="C37">
        <v>6947</v>
      </c>
      <c r="D37">
        <v>908</v>
      </c>
      <c r="E37">
        <v>306304</v>
      </c>
      <c r="F37" s="9">
        <v>14.117673944839121</v>
      </c>
      <c r="G37">
        <v>46060</v>
      </c>
    </row>
    <row r="38" spans="1:7" x14ac:dyDescent="0.25">
      <c r="A38" s="2">
        <v>45509</v>
      </c>
      <c r="B38" t="s">
        <v>19</v>
      </c>
      <c r="C38">
        <v>3494</v>
      </c>
      <c r="D38">
        <v>281</v>
      </c>
      <c r="E38">
        <v>309517</v>
      </c>
      <c r="F38" s="9">
        <v>27.765518533715429</v>
      </c>
      <c r="G38">
        <v>39197</v>
      </c>
    </row>
    <row r="39" spans="1:7" x14ac:dyDescent="0.25">
      <c r="A39" s="2">
        <v>45509</v>
      </c>
      <c r="B39" t="s">
        <v>33</v>
      </c>
      <c r="C39">
        <v>3719</v>
      </c>
      <c r="D39">
        <v>222</v>
      </c>
      <c r="E39">
        <v>313014</v>
      </c>
      <c r="F39" s="9">
        <v>21.669318305251519</v>
      </c>
      <c r="G39">
        <v>13586</v>
      </c>
    </row>
    <row r="40" spans="1:7" x14ac:dyDescent="0.25">
      <c r="A40" s="2">
        <v>45509</v>
      </c>
      <c r="B40" t="s">
        <v>12</v>
      </c>
      <c r="C40">
        <v>2884</v>
      </c>
      <c r="D40">
        <v>341</v>
      </c>
      <c r="E40">
        <v>315557</v>
      </c>
      <c r="F40" s="9">
        <v>46.999749649033298</v>
      </c>
      <c r="G40">
        <v>26087</v>
      </c>
    </row>
    <row r="41" spans="1:7" x14ac:dyDescent="0.25">
      <c r="A41" s="2">
        <v>45509</v>
      </c>
      <c r="B41" t="s">
        <v>16</v>
      </c>
      <c r="C41">
        <v>5349</v>
      </c>
      <c r="D41">
        <v>502</v>
      </c>
      <c r="E41">
        <v>320404</v>
      </c>
      <c r="F41" s="9">
        <v>5.2152906954969351</v>
      </c>
      <c r="G41">
        <v>58868</v>
      </c>
    </row>
    <row r="42" spans="1:7" x14ac:dyDescent="0.25">
      <c r="A42" s="2">
        <v>45516</v>
      </c>
      <c r="B42" t="s">
        <v>33</v>
      </c>
      <c r="C42">
        <v>6179</v>
      </c>
      <c r="D42">
        <v>384</v>
      </c>
      <c r="E42">
        <v>326199</v>
      </c>
      <c r="F42" s="9">
        <v>14.71218489327067</v>
      </c>
      <c r="G42">
        <v>33225</v>
      </c>
    </row>
    <row r="43" spans="1:7" x14ac:dyDescent="0.25">
      <c r="A43" s="2">
        <v>45516</v>
      </c>
      <c r="B43" t="s">
        <v>19</v>
      </c>
      <c r="C43">
        <v>7610</v>
      </c>
      <c r="D43">
        <v>757</v>
      </c>
      <c r="E43">
        <v>333052</v>
      </c>
      <c r="F43" s="9">
        <v>44.450416151231643</v>
      </c>
      <c r="G43">
        <v>39750</v>
      </c>
    </row>
    <row r="44" spans="1:7" x14ac:dyDescent="0.25">
      <c r="A44" s="2">
        <v>45516</v>
      </c>
      <c r="B44" t="s">
        <v>12</v>
      </c>
      <c r="C44">
        <v>7430</v>
      </c>
      <c r="D44">
        <v>397</v>
      </c>
      <c r="E44">
        <v>340085</v>
      </c>
      <c r="F44" s="9">
        <v>28.065042562888689</v>
      </c>
      <c r="G44">
        <v>16643</v>
      </c>
    </row>
    <row r="45" spans="1:7" x14ac:dyDescent="0.25">
      <c r="A45" s="2">
        <v>45516</v>
      </c>
      <c r="B45" t="s">
        <v>33</v>
      </c>
      <c r="C45">
        <v>8154</v>
      </c>
      <c r="D45">
        <v>1149</v>
      </c>
      <c r="E45">
        <v>347090</v>
      </c>
      <c r="F45" s="9">
        <v>26.003918292085629</v>
      </c>
      <c r="G45">
        <v>37523</v>
      </c>
    </row>
    <row r="46" spans="1:7" x14ac:dyDescent="0.25">
      <c r="A46" s="2">
        <v>45523</v>
      </c>
      <c r="B46" t="s">
        <v>19</v>
      </c>
      <c r="C46">
        <v>7488</v>
      </c>
      <c r="D46">
        <v>568</v>
      </c>
      <c r="E46">
        <v>354010</v>
      </c>
      <c r="F46" s="9">
        <v>13.47730290104799</v>
      </c>
      <c r="G46">
        <v>46727</v>
      </c>
    </row>
    <row r="47" spans="1:7" x14ac:dyDescent="0.25">
      <c r="A47" s="2">
        <v>45523</v>
      </c>
      <c r="B47" t="s">
        <v>12</v>
      </c>
      <c r="C47">
        <v>5737</v>
      </c>
      <c r="D47">
        <v>666</v>
      </c>
      <c r="E47">
        <v>359081</v>
      </c>
      <c r="F47" s="9">
        <v>4.6034181702735593</v>
      </c>
      <c r="G47">
        <v>21005</v>
      </c>
    </row>
    <row r="48" spans="1:7" x14ac:dyDescent="0.25">
      <c r="A48" s="2">
        <v>45523</v>
      </c>
      <c r="B48" t="s">
        <v>19</v>
      </c>
      <c r="C48">
        <v>7525</v>
      </c>
      <c r="D48">
        <v>610</v>
      </c>
      <c r="E48">
        <v>365996</v>
      </c>
      <c r="F48" s="9">
        <v>5.7694619613329108</v>
      </c>
      <c r="G48">
        <v>53543</v>
      </c>
    </row>
    <row r="49" spans="1:7" x14ac:dyDescent="0.25">
      <c r="A49" s="2">
        <v>45523</v>
      </c>
      <c r="B49" t="s">
        <v>12</v>
      </c>
      <c r="C49">
        <v>4850</v>
      </c>
      <c r="D49">
        <v>494</v>
      </c>
      <c r="E49">
        <v>370352</v>
      </c>
      <c r="F49" s="9">
        <v>20.46539508359615</v>
      </c>
      <c r="G49">
        <v>10161</v>
      </c>
    </row>
    <row r="50" spans="1:7" x14ac:dyDescent="0.25">
      <c r="A50" s="2">
        <v>45530</v>
      </c>
      <c r="B50" t="s">
        <v>16</v>
      </c>
      <c r="C50">
        <v>1689</v>
      </c>
      <c r="D50">
        <v>176</v>
      </c>
      <c r="E50">
        <v>371865</v>
      </c>
      <c r="F50" s="9">
        <v>38.012181840183942</v>
      </c>
      <c r="G50">
        <v>26029</v>
      </c>
    </row>
    <row r="51" spans="1:7" x14ac:dyDescent="0.25">
      <c r="A51" s="2">
        <v>45530</v>
      </c>
      <c r="B51" t="s">
        <v>33</v>
      </c>
      <c r="C51">
        <v>6175</v>
      </c>
      <c r="D51">
        <v>422</v>
      </c>
      <c r="E51">
        <v>377618</v>
      </c>
      <c r="F51" s="9">
        <v>37.86101298137271</v>
      </c>
      <c r="G51">
        <v>59745</v>
      </c>
    </row>
    <row r="52" spans="1:7" x14ac:dyDescent="0.25">
      <c r="A52" s="2">
        <v>45530</v>
      </c>
      <c r="B52" t="s">
        <v>19</v>
      </c>
      <c r="C52">
        <v>9648</v>
      </c>
      <c r="D52">
        <v>1417</v>
      </c>
      <c r="E52">
        <v>385849</v>
      </c>
      <c r="F52" s="9">
        <v>3.6633501706626168</v>
      </c>
      <c r="G52">
        <v>24226</v>
      </c>
    </row>
    <row r="53" spans="1:7" x14ac:dyDescent="0.25">
      <c r="A53" s="2">
        <v>45530</v>
      </c>
      <c r="B53" t="s">
        <v>12</v>
      </c>
      <c r="C53">
        <v>6078</v>
      </c>
      <c r="D53">
        <v>775</v>
      </c>
      <c r="E53">
        <v>391152</v>
      </c>
      <c r="F53" s="9">
        <v>37.760512537325639</v>
      </c>
      <c r="G53">
        <v>38731</v>
      </c>
    </row>
    <row r="54" spans="1:7" x14ac:dyDescent="0.25">
      <c r="A54" s="2">
        <v>45537</v>
      </c>
      <c r="B54" t="s">
        <v>19</v>
      </c>
      <c r="C54">
        <v>6448</v>
      </c>
      <c r="D54">
        <v>928</v>
      </c>
      <c r="E54">
        <v>396672</v>
      </c>
      <c r="F54" s="9">
        <v>30.118586640851881</v>
      </c>
      <c r="G54">
        <v>53922</v>
      </c>
    </row>
    <row r="55" spans="1:7" x14ac:dyDescent="0.25">
      <c r="A55" s="2">
        <v>45537</v>
      </c>
      <c r="B55" t="s">
        <v>19</v>
      </c>
      <c r="C55">
        <v>2179</v>
      </c>
      <c r="D55">
        <v>303</v>
      </c>
      <c r="E55">
        <v>398548</v>
      </c>
      <c r="F55" s="9">
        <v>33.909842729106657</v>
      </c>
      <c r="G55">
        <v>54848</v>
      </c>
    </row>
    <row r="56" spans="1:7" x14ac:dyDescent="0.25">
      <c r="A56" s="2">
        <v>45537</v>
      </c>
      <c r="B56" t="s">
        <v>33</v>
      </c>
      <c r="C56">
        <v>7406</v>
      </c>
      <c r="D56">
        <v>813</v>
      </c>
      <c r="E56">
        <v>405141</v>
      </c>
      <c r="F56" s="9">
        <v>24.457411123534769</v>
      </c>
      <c r="G56">
        <v>13390</v>
      </c>
    </row>
    <row r="57" spans="1:7" x14ac:dyDescent="0.25">
      <c r="A57" s="2">
        <v>45537</v>
      </c>
      <c r="B57" t="s">
        <v>16</v>
      </c>
      <c r="C57">
        <v>9591</v>
      </c>
      <c r="D57">
        <v>1363</v>
      </c>
      <c r="E57">
        <v>413369</v>
      </c>
      <c r="F57" s="9">
        <v>10.494255737609739</v>
      </c>
      <c r="G57">
        <v>15997</v>
      </c>
    </row>
    <row r="58" spans="1:7" x14ac:dyDescent="0.25">
      <c r="A58" s="2">
        <v>45544</v>
      </c>
      <c r="B58" t="s">
        <v>19</v>
      </c>
      <c r="C58">
        <v>7907</v>
      </c>
      <c r="D58">
        <v>465</v>
      </c>
      <c r="E58">
        <v>420811</v>
      </c>
      <c r="F58" s="9">
        <v>33.257448118038738</v>
      </c>
      <c r="G58">
        <v>22693</v>
      </c>
    </row>
    <row r="59" spans="1:7" x14ac:dyDescent="0.25">
      <c r="A59" s="2">
        <v>45544</v>
      </c>
      <c r="B59" t="s">
        <v>12</v>
      </c>
      <c r="C59">
        <v>9800</v>
      </c>
      <c r="D59">
        <v>682</v>
      </c>
      <c r="E59">
        <v>429929</v>
      </c>
      <c r="F59" s="9">
        <v>6.2966210699906267</v>
      </c>
      <c r="G59">
        <v>59815</v>
      </c>
    </row>
    <row r="60" spans="1:7" x14ac:dyDescent="0.25">
      <c r="A60" s="2">
        <v>45544</v>
      </c>
      <c r="B60" t="s">
        <v>12</v>
      </c>
      <c r="C60">
        <v>2638</v>
      </c>
      <c r="D60">
        <v>143</v>
      </c>
      <c r="E60">
        <v>432424</v>
      </c>
      <c r="F60" s="9">
        <v>6.9547481175882924</v>
      </c>
      <c r="G60">
        <v>52092</v>
      </c>
    </row>
    <row r="61" spans="1:7" x14ac:dyDescent="0.25">
      <c r="A61" s="2">
        <v>45544</v>
      </c>
      <c r="B61" t="s">
        <v>16</v>
      </c>
      <c r="C61">
        <v>6671</v>
      </c>
      <c r="D61">
        <v>550</v>
      </c>
      <c r="E61">
        <v>438545</v>
      </c>
      <c r="F61" s="9">
        <v>17.750287883797562</v>
      </c>
      <c r="G61">
        <v>10541</v>
      </c>
    </row>
    <row r="62" spans="1:7" x14ac:dyDescent="0.25">
      <c r="A62" s="2">
        <v>45551</v>
      </c>
      <c r="B62" t="s">
        <v>12</v>
      </c>
      <c r="C62">
        <v>7928</v>
      </c>
      <c r="D62">
        <v>704</v>
      </c>
      <c r="E62">
        <v>445769</v>
      </c>
      <c r="F62" s="9">
        <v>11.194362999670229</v>
      </c>
      <c r="G62">
        <v>31817</v>
      </c>
    </row>
    <row r="63" spans="1:7" x14ac:dyDescent="0.25">
      <c r="A63" s="2">
        <v>45551</v>
      </c>
      <c r="B63" t="s">
        <v>16</v>
      </c>
      <c r="C63">
        <v>2382</v>
      </c>
      <c r="D63">
        <v>183</v>
      </c>
      <c r="E63">
        <v>447968</v>
      </c>
      <c r="F63" s="9">
        <v>4.7335970426459033</v>
      </c>
      <c r="G63">
        <v>47861</v>
      </c>
    </row>
    <row r="64" spans="1:7" x14ac:dyDescent="0.25">
      <c r="A64" s="2">
        <v>45551</v>
      </c>
      <c r="B64" t="s">
        <v>12</v>
      </c>
      <c r="C64">
        <v>2403</v>
      </c>
      <c r="D64">
        <v>319</v>
      </c>
      <c r="E64">
        <v>450052</v>
      </c>
      <c r="F64" s="9">
        <v>29.92120910472568</v>
      </c>
      <c r="G64">
        <v>23428</v>
      </c>
    </row>
    <row r="65" spans="1:7" x14ac:dyDescent="0.25">
      <c r="A65" s="2">
        <v>45551</v>
      </c>
      <c r="B65" t="s">
        <v>33</v>
      </c>
      <c r="C65">
        <v>4292</v>
      </c>
      <c r="D65">
        <v>367</v>
      </c>
      <c r="E65">
        <v>453977</v>
      </c>
      <c r="F65" s="9">
        <v>3.5037017293827661</v>
      </c>
      <c r="G65">
        <v>53934</v>
      </c>
    </row>
    <row r="66" spans="1:7" x14ac:dyDescent="0.25">
      <c r="A66" s="2">
        <v>45558</v>
      </c>
      <c r="B66" t="s">
        <v>19</v>
      </c>
      <c r="C66">
        <v>1419</v>
      </c>
      <c r="D66">
        <v>110</v>
      </c>
      <c r="E66">
        <v>455286</v>
      </c>
      <c r="F66" s="9">
        <v>31.554451487636339</v>
      </c>
      <c r="G66">
        <v>58831</v>
      </c>
    </row>
    <row r="67" spans="1:7" x14ac:dyDescent="0.25">
      <c r="A67" s="2">
        <v>45558</v>
      </c>
      <c r="B67" t="s">
        <v>33</v>
      </c>
      <c r="C67">
        <v>5517</v>
      </c>
      <c r="D67">
        <v>575</v>
      </c>
      <c r="E67">
        <v>460228</v>
      </c>
      <c r="F67" s="9">
        <v>29.45844233727631</v>
      </c>
      <c r="G67">
        <v>20258</v>
      </c>
    </row>
    <row r="68" spans="1:7" x14ac:dyDescent="0.25">
      <c r="A68" s="2">
        <v>45558</v>
      </c>
      <c r="B68" t="s">
        <v>19</v>
      </c>
      <c r="C68">
        <v>4302</v>
      </c>
      <c r="D68">
        <v>275</v>
      </c>
      <c r="E68">
        <v>464255</v>
      </c>
      <c r="F68" s="9">
        <v>15.72131694865968</v>
      </c>
      <c r="G68">
        <v>26044</v>
      </c>
    </row>
    <row r="69" spans="1:7" x14ac:dyDescent="0.25">
      <c r="A69" s="2">
        <v>45558</v>
      </c>
      <c r="B69" t="s">
        <v>19</v>
      </c>
      <c r="C69">
        <v>8857</v>
      </c>
      <c r="D69">
        <v>1153</v>
      </c>
      <c r="E69">
        <v>471959</v>
      </c>
      <c r="F69" s="9">
        <v>19.214592793018038</v>
      </c>
      <c r="G69">
        <v>39411</v>
      </c>
    </row>
    <row r="70" spans="1:7" x14ac:dyDescent="0.25">
      <c r="A70" s="2">
        <v>45565</v>
      </c>
      <c r="B70" t="s">
        <v>19</v>
      </c>
      <c r="C70">
        <v>8870</v>
      </c>
      <c r="D70">
        <v>509</v>
      </c>
      <c r="E70">
        <v>480320</v>
      </c>
      <c r="F70" s="9">
        <v>25.077864756828781</v>
      </c>
      <c r="G70">
        <v>15469</v>
      </c>
    </row>
    <row r="71" spans="1:7" x14ac:dyDescent="0.25">
      <c r="A71" s="2">
        <v>45565</v>
      </c>
      <c r="B71" t="s">
        <v>33</v>
      </c>
      <c r="C71">
        <v>6693</v>
      </c>
      <c r="D71">
        <v>995</v>
      </c>
      <c r="E71">
        <v>486018</v>
      </c>
      <c r="F71" s="9">
        <v>23.761877132122681</v>
      </c>
      <c r="G71">
        <v>38854</v>
      </c>
    </row>
    <row r="72" spans="1:7" x14ac:dyDescent="0.25">
      <c r="A72" s="2">
        <v>45565</v>
      </c>
      <c r="B72" t="s">
        <v>19</v>
      </c>
      <c r="C72">
        <v>1767</v>
      </c>
      <c r="D72">
        <v>224</v>
      </c>
      <c r="E72">
        <v>487561</v>
      </c>
      <c r="F72" s="9">
        <v>13.208603641390511</v>
      </c>
      <c r="G72">
        <v>16256</v>
      </c>
    </row>
    <row r="73" spans="1:7" x14ac:dyDescent="0.25">
      <c r="A73" s="2">
        <v>45565</v>
      </c>
      <c r="B73" t="s">
        <v>33</v>
      </c>
      <c r="C73">
        <v>3044</v>
      </c>
      <c r="D73">
        <v>212</v>
      </c>
      <c r="E73">
        <v>490393</v>
      </c>
      <c r="F73" s="9">
        <v>8.5343795690395261</v>
      </c>
      <c r="G73">
        <v>20720</v>
      </c>
    </row>
    <row r="74" spans="1:7" x14ac:dyDescent="0.25">
      <c r="A74" s="2">
        <v>45572</v>
      </c>
      <c r="B74" t="s">
        <v>16</v>
      </c>
      <c r="C74">
        <v>2549</v>
      </c>
      <c r="D74">
        <v>128</v>
      </c>
      <c r="E74">
        <v>492814</v>
      </c>
      <c r="F74" s="9">
        <v>12.734216154573531</v>
      </c>
      <c r="G74">
        <v>43937</v>
      </c>
    </row>
    <row r="75" spans="1:7" x14ac:dyDescent="0.25">
      <c r="A75" s="2">
        <v>45572</v>
      </c>
      <c r="B75" t="s">
        <v>12</v>
      </c>
      <c r="C75">
        <v>7140</v>
      </c>
      <c r="D75">
        <v>939</v>
      </c>
      <c r="E75">
        <v>499015</v>
      </c>
      <c r="F75" s="9">
        <v>25.120888149654821</v>
      </c>
      <c r="G75">
        <v>43598</v>
      </c>
    </row>
    <row r="76" spans="1:7" x14ac:dyDescent="0.25">
      <c r="A76" s="2">
        <v>45572</v>
      </c>
      <c r="B76" t="s">
        <v>12</v>
      </c>
      <c r="C76">
        <v>4716</v>
      </c>
      <c r="D76">
        <v>569</v>
      </c>
      <c r="E76">
        <v>503162</v>
      </c>
      <c r="F76" s="9">
        <v>25.64820077827817</v>
      </c>
      <c r="G76">
        <v>11651</v>
      </c>
    </row>
    <row r="77" spans="1:7" x14ac:dyDescent="0.25">
      <c r="A77" s="2">
        <v>45572</v>
      </c>
      <c r="B77" t="s">
        <v>19</v>
      </c>
      <c r="C77">
        <v>5481</v>
      </c>
      <c r="D77">
        <v>673</v>
      </c>
      <c r="E77">
        <v>507970</v>
      </c>
      <c r="F77" s="9">
        <v>13.08758391243577</v>
      </c>
      <c r="G77">
        <v>29194</v>
      </c>
    </row>
    <row r="78" spans="1:7" x14ac:dyDescent="0.25">
      <c r="A78" s="2">
        <v>45579</v>
      </c>
      <c r="B78" t="s">
        <v>33</v>
      </c>
      <c r="C78">
        <v>8898</v>
      </c>
      <c r="D78">
        <v>1131</v>
      </c>
      <c r="E78">
        <v>515737</v>
      </c>
      <c r="F78" s="9">
        <v>2.1877429775253669</v>
      </c>
      <c r="G78">
        <v>35051</v>
      </c>
    </row>
    <row r="79" spans="1:7" x14ac:dyDescent="0.25">
      <c r="A79" s="2">
        <v>45579</v>
      </c>
      <c r="B79" t="s">
        <v>12</v>
      </c>
      <c r="C79">
        <v>7548</v>
      </c>
      <c r="D79">
        <v>433</v>
      </c>
      <c r="E79">
        <v>522852</v>
      </c>
      <c r="F79" s="9">
        <v>8.3562843787534522</v>
      </c>
      <c r="G79">
        <v>37386</v>
      </c>
    </row>
    <row r="80" spans="1:7" x14ac:dyDescent="0.25">
      <c r="A80" s="2">
        <v>45579</v>
      </c>
      <c r="B80" t="s">
        <v>33</v>
      </c>
      <c r="C80">
        <v>3293</v>
      </c>
      <c r="D80">
        <v>282</v>
      </c>
      <c r="E80">
        <v>525863</v>
      </c>
      <c r="F80" s="9">
        <v>27.040693108281051</v>
      </c>
      <c r="G80">
        <v>19518</v>
      </c>
    </row>
    <row r="81" spans="1:7" x14ac:dyDescent="0.25">
      <c r="A81" s="2">
        <v>45579</v>
      </c>
      <c r="B81" t="s">
        <v>33</v>
      </c>
      <c r="C81">
        <v>5837</v>
      </c>
      <c r="D81">
        <v>359</v>
      </c>
      <c r="E81">
        <v>531341</v>
      </c>
      <c r="F81" s="9">
        <v>6.8073045370110723</v>
      </c>
      <c r="G81">
        <v>56026</v>
      </c>
    </row>
    <row r="82" spans="1:7" x14ac:dyDescent="0.25">
      <c r="A82" s="2">
        <v>45586</v>
      </c>
      <c r="B82" t="s">
        <v>19</v>
      </c>
      <c r="C82">
        <v>8758</v>
      </c>
      <c r="D82">
        <v>1193</v>
      </c>
      <c r="E82">
        <v>538906</v>
      </c>
      <c r="F82" s="9">
        <v>3.4213758985797149</v>
      </c>
      <c r="G82">
        <v>26184</v>
      </c>
    </row>
    <row r="83" spans="1:7" x14ac:dyDescent="0.25">
      <c r="A83" s="2">
        <v>45586</v>
      </c>
      <c r="B83" t="s">
        <v>12</v>
      </c>
      <c r="C83">
        <v>7793</v>
      </c>
      <c r="D83">
        <v>875</v>
      </c>
      <c r="E83">
        <v>545824</v>
      </c>
      <c r="F83" s="9">
        <v>5.5136820660139527</v>
      </c>
      <c r="G83">
        <v>43787</v>
      </c>
    </row>
    <row r="84" spans="1:7" x14ac:dyDescent="0.25">
      <c r="A84" s="2">
        <v>45586</v>
      </c>
      <c r="B84" t="s">
        <v>19</v>
      </c>
      <c r="C84">
        <v>8638</v>
      </c>
      <c r="D84">
        <v>717</v>
      </c>
      <c r="E84">
        <v>553745</v>
      </c>
      <c r="F84" s="9">
        <v>26.921416897669499</v>
      </c>
      <c r="G84">
        <v>31621</v>
      </c>
    </row>
    <row r="85" spans="1:7" x14ac:dyDescent="0.25">
      <c r="A85" s="2">
        <v>45586</v>
      </c>
      <c r="B85" t="s">
        <v>19</v>
      </c>
      <c r="C85">
        <v>8993</v>
      </c>
      <c r="D85">
        <v>506</v>
      </c>
      <c r="E85">
        <v>562232</v>
      </c>
      <c r="F85" s="9">
        <v>3.5131404829323132</v>
      </c>
      <c r="G85">
        <v>20028</v>
      </c>
    </row>
    <row r="86" spans="1:7" x14ac:dyDescent="0.25">
      <c r="A86" s="2">
        <v>45593</v>
      </c>
      <c r="B86" t="s">
        <v>12</v>
      </c>
      <c r="C86">
        <v>7007</v>
      </c>
      <c r="D86">
        <v>568</v>
      </c>
      <c r="E86">
        <v>568671</v>
      </c>
      <c r="F86" s="9">
        <v>11.50507059442103</v>
      </c>
      <c r="G86">
        <v>22448</v>
      </c>
    </row>
    <row r="87" spans="1:7" x14ac:dyDescent="0.25">
      <c r="A87" s="2">
        <v>45593</v>
      </c>
      <c r="B87" t="s">
        <v>12</v>
      </c>
      <c r="C87">
        <v>6542</v>
      </c>
      <c r="D87">
        <v>539</v>
      </c>
      <c r="E87">
        <v>574674</v>
      </c>
      <c r="F87" s="9">
        <v>6.4069368024305948</v>
      </c>
      <c r="G87">
        <v>55253</v>
      </c>
    </row>
    <row r="88" spans="1:7" x14ac:dyDescent="0.25">
      <c r="A88" s="2">
        <v>45593</v>
      </c>
      <c r="B88" t="s">
        <v>16</v>
      </c>
      <c r="C88">
        <v>7356</v>
      </c>
      <c r="D88">
        <v>904</v>
      </c>
      <c r="E88">
        <v>581126</v>
      </c>
      <c r="F88" s="9">
        <v>17.560907617280929</v>
      </c>
      <c r="G88">
        <v>44051</v>
      </c>
    </row>
    <row r="89" spans="1:7" x14ac:dyDescent="0.25">
      <c r="A89" s="2">
        <v>45593</v>
      </c>
      <c r="B89" t="s">
        <v>16</v>
      </c>
      <c r="C89">
        <v>9433</v>
      </c>
      <c r="D89">
        <v>1073</v>
      </c>
      <c r="E89">
        <v>589486</v>
      </c>
      <c r="F89" s="9">
        <v>7.2934726185185053</v>
      </c>
      <c r="G89">
        <v>59811</v>
      </c>
    </row>
    <row r="90" spans="1:7" x14ac:dyDescent="0.25">
      <c r="A90" s="2">
        <v>45600</v>
      </c>
      <c r="B90" t="s">
        <v>33</v>
      </c>
      <c r="C90">
        <v>8380</v>
      </c>
      <c r="D90">
        <v>1162</v>
      </c>
      <c r="E90">
        <v>596704</v>
      </c>
      <c r="F90" s="9">
        <v>18.05853488496809</v>
      </c>
      <c r="G90">
        <v>40447</v>
      </c>
    </row>
    <row r="91" spans="1:7" x14ac:dyDescent="0.25">
      <c r="A91" s="2">
        <v>45600</v>
      </c>
      <c r="B91" t="s">
        <v>12</v>
      </c>
      <c r="C91">
        <v>3385</v>
      </c>
      <c r="D91">
        <v>329</v>
      </c>
      <c r="E91">
        <v>599760</v>
      </c>
      <c r="F91" s="9">
        <v>17.61788048552755</v>
      </c>
      <c r="G91">
        <v>28394</v>
      </c>
    </row>
    <row r="92" spans="1:7" x14ac:dyDescent="0.25">
      <c r="A92" s="2">
        <v>45600</v>
      </c>
      <c r="B92" t="s">
        <v>16</v>
      </c>
      <c r="C92">
        <v>5268</v>
      </c>
      <c r="D92">
        <v>326</v>
      </c>
      <c r="E92">
        <v>604702</v>
      </c>
      <c r="F92" s="9">
        <v>23.435841125050029</v>
      </c>
      <c r="G92">
        <v>44501</v>
      </c>
    </row>
    <row r="93" spans="1:7" x14ac:dyDescent="0.25">
      <c r="A93" s="2">
        <v>45600</v>
      </c>
      <c r="B93" t="s">
        <v>33</v>
      </c>
      <c r="C93">
        <v>1671</v>
      </c>
      <c r="D93">
        <v>202</v>
      </c>
      <c r="E93">
        <v>606171</v>
      </c>
      <c r="F93" s="9">
        <v>15.150015424690389</v>
      </c>
      <c r="G93">
        <v>40254</v>
      </c>
    </row>
    <row r="94" spans="1:7" x14ac:dyDescent="0.25">
      <c r="A94" s="2">
        <v>45607</v>
      </c>
      <c r="B94" t="s">
        <v>33</v>
      </c>
      <c r="C94">
        <v>1163</v>
      </c>
      <c r="D94">
        <v>146</v>
      </c>
      <c r="E94">
        <v>607188</v>
      </c>
      <c r="F94" s="9">
        <v>21.77776899411715</v>
      </c>
      <c r="G94">
        <v>28509</v>
      </c>
    </row>
    <row r="95" spans="1:7" x14ac:dyDescent="0.25">
      <c r="A95" s="2">
        <v>45607</v>
      </c>
      <c r="B95" t="s">
        <v>33</v>
      </c>
      <c r="C95">
        <v>9656</v>
      </c>
      <c r="D95">
        <v>1024</v>
      </c>
      <c r="E95">
        <v>615820</v>
      </c>
      <c r="F95" s="9">
        <v>8.7252768666168681</v>
      </c>
      <c r="G95">
        <v>58998</v>
      </c>
    </row>
    <row r="96" spans="1:7" x14ac:dyDescent="0.25">
      <c r="A96" s="2">
        <v>45607</v>
      </c>
      <c r="B96" t="s">
        <v>16</v>
      </c>
      <c r="C96">
        <v>5592</v>
      </c>
      <c r="D96">
        <v>710</v>
      </c>
      <c r="E96">
        <v>620702</v>
      </c>
      <c r="F96" s="9">
        <v>9.07118069540617</v>
      </c>
      <c r="G96">
        <v>24472</v>
      </c>
    </row>
    <row r="97" spans="1:7" x14ac:dyDescent="0.25">
      <c r="A97" s="2">
        <v>45607</v>
      </c>
      <c r="B97" t="s">
        <v>12</v>
      </c>
      <c r="C97">
        <v>5795</v>
      </c>
      <c r="D97">
        <v>575</v>
      </c>
      <c r="E97">
        <v>625922</v>
      </c>
      <c r="F97" s="9">
        <v>3.0908004511744269</v>
      </c>
      <c r="G97">
        <v>55657</v>
      </c>
    </row>
    <row r="98" spans="1:7" x14ac:dyDescent="0.25">
      <c r="A98" s="2">
        <v>45614</v>
      </c>
      <c r="B98" t="s">
        <v>19</v>
      </c>
      <c r="C98">
        <v>5798</v>
      </c>
      <c r="D98">
        <v>592</v>
      </c>
      <c r="E98">
        <v>631128</v>
      </c>
      <c r="F98" s="9">
        <v>1.6774727155188811</v>
      </c>
      <c r="G98">
        <v>13471</v>
      </c>
    </row>
    <row r="99" spans="1:7" x14ac:dyDescent="0.25">
      <c r="A99" s="2">
        <v>45614</v>
      </c>
      <c r="B99" t="s">
        <v>33</v>
      </c>
      <c r="C99">
        <v>7036</v>
      </c>
      <c r="D99">
        <v>652</v>
      </c>
      <c r="E99">
        <v>637512</v>
      </c>
      <c r="F99" s="9">
        <v>3.5705994553828009</v>
      </c>
      <c r="G99">
        <v>51796</v>
      </c>
    </row>
    <row r="100" spans="1:7" x14ac:dyDescent="0.25">
      <c r="A100" s="2">
        <v>45614</v>
      </c>
      <c r="B100" t="s">
        <v>16</v>
      </c>
      <c r="C100">
        <v>3355</v>
      </c>
      <c r="D100">
        <v>176</v>
      </c>
      <c r="E100">
        <v>640691</v>
      </c>
      <c r="F100" s="9">
        <v>12.426427091999111</v>
      </c>
      <c r="G100">
        <v>40268</v>
      </c>
    </row>
    <row r="101" spans="1:7" x14ac:dyDescent="0.25">
      <c r="A101" s="2">
        <v>45614</v>
      </c>
      <c r="B101" t="s">
        <v>16</v>
      </c>
      <c r="C101">
        <v>6887</v>
      </c>
      <c r="D101">
        <v>418</v>
      </c>
      <c r="E101">
        <v>647160</v>
      </c>
      <c r="F101" s="9">
        <v>20.240280610668151</v>
      </c>
      <c r="G101">
        <v>18329</v>
      </c>
    </row>
    <row r="102" spans="1:7" x14ac:dyDescent="0.25">
      <c r="A102" s="2">
        <v>45621</v>
      </c>
      <c r="B102" t="s">
        <v>19</v>
      </c>
      <c r="C102">
        <v>8961</v>
      </c>
      <c r="D102">
        <v>476</v>
      </c>
      <c r="E102">
        <v>655645</v>
      </c>
      <c r="F102" s="9">
        <v>15.458517947974901</v>
      </c>
      <c r="G102">
        <v>44865</v>
      </c>
    </row>
    <row r="103" spans="1:7" x14ac:dyDescent="0.25">
      <c r="A103" s="2">
        <v>45621</v>
      </c>
      <c r="B103" t="s">
        <v>19</v>
      </c>
      <c r="C103">
        <v>6827</v>
      </c>
      <c r="D103">
        <v>775</v>
      </c>
      <c r="E103">
        <v>661697</v>
      </c>
      <c r="F103" s="9">
        <v>15.96622018839439</v>
      </c>
      <c r="G103">
        <v>56850</v>
      </c>
    </row>
    <row r="104" spans="1:7" x14ac:dyDescent="0.25">
      <c r="A104" s="2">
        <v>45621</v>
      </c>
      <c r="B104" t="s">
        <v>16</v>
      </c>
      <c r="C104">
        <v>9737</v>
      </c>
      <c r="D104">
        <v>792</v>
      </c>
      <c r="E104">
        <v>670642</v>
      </c>
      <c r="F104" s="9">
        <v>5.301785453341723</v>
      </c>
      <c r="G104">
        <v>56698</v>
      </c>
    </row>
    <row r="105" spans="1:7" x14ac:dyDescent="0.25">
      <c r="A105" s="2">
        <v>45621</v>
      </c>
      <c r="B105" t="s">
        <v>12</v>
      </c>
      <c r="C105">
        <v>5719</v>
      </c>
      <c r="D105">
        <v>576</v>
      </c>
      <c r="E105">
        <v>675785</v>
      </c>
      <c r="F105" s="9">
        <v>10.21656296011305</v>
      </c>
      <c r="G105">
        <v>38272</v>
      </c>
    </row>
    <row r="106" spans="1:7" x14ac:dyDescent="0.25">
      <c r="A106" s="2">
        <v>45628</v>
      </c>
      <c r="B106" t="s">
        <v>19</v>
      </c>
      <c r="C106">
        <v>1593</v>
      </c>
      <c r="D106">
        <v>224</v>
      </c>
      <c r="E106">
        <v>677154</v>
      </c>
      <c r="F106" s="9">
        <v>4.1495730660972248</v>
      </c>
      <c r="G106">
        <v>52845</v>
      </c>
    </row>
    <row r="107" spans="1:7" x14ac:dyDescent="0.25">
      <c r="A107" s="2">
        <v>45628</v>
      </c>
      <c r="B107" t="s">
        <v>16</v>
      </c>
      <c r="C107">
        <v>5839</v>
      </c>
      <c r="D107">
        <v>437</v>
      </c>
      <c r="E107">
        <v>682556</v>
      </c>
      <c r="F107" s="9">
        <v>17.44750613869045</v>
      </c>
      <c r="G107">
        <v>16397</v>
      </c>
    </row>
    <row r="108" spans="1:7" x14ac:dyDescent="0.25">
      <c r="A108" s="2">
        <v>45628</v>
      </c>
      <c r="B108" t="s">
        <v>19</v>
      </c>
      <c r="C108">
        <v>8394</v>
      </c>
      <c r="D108">
        <v>764</v>
      </c>
      <c r="E108">
        <v>690186</v>
      </c>
      <c r="F108" s="9">
        <v>6.3556780346167558</v>
      </c>
      <c r="G108">
        <v>42373</v>
      </c>
    </row>
    <row r="109" spans="1:7" x14ac:dyDescent="0.25">
      <c r="A109" s="2">
        <v>45628</v>
      </c>
      <c r="B109" t="s">
        <v>12</v>
      </c>
      <c r="C109">
        <v>4493</v>
      </c>
      <c r="D109">
        <v>564</v>
      </c>
      <c r="E109">
        <v>694115</v>
      </c>
      <c r="F109" s="9">
        <v>16.625487131094989</v>
      </c>
      <c r="G109">
        <v>45525</v>
      </c>
    </row>
    <row r="110" spans="1:7" x14ac:dyDescent="0.25">
      <c r="A110" s="2">
        <v>45635</v>
      </c>
      <c r="B110" t="s">
        <v>33</v>
      </c>
      <c r="C110">
        <v>7164</v>
      </c>
      <c r="D110">
        <v>522</v>
      </c>
      <c r="E110">
        <v>700757</v>
      </c>
      <c r="F110" s="9">
        <v>13.449169969047761</v>
      </c>
      <c r="G110">
        <v>34570</v>
      </c>
    </row>
    <row r="111" spans="1:7" x14ac:dyDescent="0.25">
      <c r="A111" s="2">
        <v>45635</v>
      </c>
      <c r="B111" t="s">
        <v>19</v>
      </c>
      <c r="C111">
        <v>3672</v>
      </c>
      <c r="D111">
        <v>211</v>
      </c>
      <c r="E111">
        <v>704218</v>
      </c>
      <c r="F111" s="9">
        <v>12.35057894004413</v>
      </c>
      <c r="G111">
        <v>28284</v>
      </c>
    </row>
    <row r="112" spans="1:7" x14ac:dyDescent="0.25">
      <c r="A112" s="2">
        <v>45635</v>
      </c>
      <c r="B112" t="s">
        <v>12</v>
      </c>
      <c r="C112">
        <v>5200</v>
      </c>
      <c r="D112">
        <v>410</v>
      </c>
      <c r="E112">
        <v>709008</v>
      </c>
      <c r="F112" s="9">
        <v>12.913394489201821</v>
      </c>
      <c r="G112">
        <v>28994</v>
      </c>
    </row>
    <row r="113" spans="1:7" x14ac:dyDescent="0.25">
      <c r="A113" s="2">
        <v>45635</v>
      </c>
      <c r="B113" t="s">
        <v>16</v>
      </c>
      <c r="C113">
        <v>1016</v>
      </c>
      <c r="D113">
        <v>67</v>
      </c>
      <c r="E113">
        <v>709957</v>
      </c>
      <c r="F113" s="9">
        <v>20.774215903216671</v>
      </c>
      <c r="G113">
        <v>33284</v>
      </c>
    </row>
    <row r="114" spans="1:7" x14ac:dyDescent="0.25">
      <c r="A114" s="2">
        <v>45642</v>
      </c>
      <c r="B114" t="s">
        <v>19</v>
      </c>
      <c r="C114">
        <v>4191</v>
      </c>
      <c r="D114">
        <v>599</v>
      </c>
      <c r="E114">
        <v>713549</v>
      </c>
      <c r="F114" s="9">
        <v>11.56416728213479</v>
      </c>
      <c r="G114">
        <v>27833</v>
      </c>
    </row>
    <row r="115" spans="1:7" x14ac:dyDescent="0.25">
      <c r="A115" s="2">
        <v>45642</v>
      </c>
      <c r="B115" t="s">
        <v>19</v>
      </c>
      <c r="C115">
        <v>1392</v>
      </c>
      <c r="D115">
        <v>182</v>
      </c>
      <c r="E115">
        <v>714759</v>
      </c>
      <c r="F115" s="9">
        <v>5.9603306848881932</v>
      </c>
      <c r="G115">
        <v>35122</v>
      </c>
    </row>
    <row r="116" spans="1:7" x14ac:dyDescent="0.25">
      <c r="A116" s="2">
        <v>45642</v>
      </c>
      <c r="B116" t="s">
        <v>16</v>
      </c>
      <c r="C116">
        <v>9616</v>
      </c>
      <c r="D116">
        <v>1089</v>
      </c>
      <c r="E116">
        <v>723286</v>
      </c>
      <c r="F116" s="9">
        <v>19.25863351426683</v>
      </c>
      <c r="G116">
        <v>15017</v>
      </c>
    </row>
    <row r="117" spans="1:7" x14ac:dyDescent="0.25">
      <c r="A117" s="2">
        <v>45642</v>
      </c>
      <c r="B117" t="s">
        <v>33</v>
      </c>
      <c r="C117">
        <v>7272</v>
      </c>
      <c r="D117">
        <v>997</v>
      </c>
      <c r="E117">
        <v>729561</v>
      </c>
      <c r="F117" s="9">
        <v>13.428486445958599</v>
      </c>
      <c r="G117">
        <v>26370</v>
      </c>
    </row>
    <row r="118" spans="1:7" x14ac:dyDescent="0.25">
      <c r="A118" s="2">
        <v>45649</v>
      </c>
      <c r="B118" t="s">
        <v>16</v>
      </c>
      <c r="C118">
        <v>1571</v>
      </c>
      <c r="D118">
        <v>204</v>
      </c>
      <c r="E118">
        <v>730928</v>
      </c>
      <c r="F118" s="9">
        <v>19.449384891535139</v>
      </c>
      <c r="G118">
        <v>39252</v>
      </c>
    </row>
    <row r="119" spans="1:7" x14ac:dyDescent="0.25">
      <c r="A119" s="2">
        <v>45649</v>
      </c>
      <c r="B119" t="s">
        <v>19</v>
      </c>
      <c r="C119">
        <v>4631</v>
      </c>
      <c r="D119">
        <v>317</v>
      </c>
      <c r="E119">
        <v>735242</v>
      </c>
      <c r="F119" s="9">
        <v>1.381177897889402</v>
      </c>
      <c r="G119">
        <v>17999</v>
      </c>
    </row>
    <row r="120" spans="1:7" x14ac:dyDescent="0.25">
      <c r="A120" s="2">
        <v>45649</v>
      </c>
      <c r="B120" t="s">
        <v>16</v>
      </c>
      <c r="C120">
        <v>7172</v>
      </c>
      <c r="D120">
        <v>998</v>
      </c>
      <c r="E120">
        <v>741416</v>
      </c>
      <c r="F120" s="9">
        <v>18.0667803230575</v>
      </c>
      <c r="G120">
        <v>32436</v>
      </c>
    </row>
    <row r="121" spans="1:7" x14ac:dyDescent="0.25">
      <c r="A121" s="2">
        <v>45649</v>
      </c>
      <c r="B121" t="s">
        <v>12</v>
      </c>
      <c r="C121">
        <v>8177</v>
      </c>
      <c r="D121">
        <v>849</v>
      </c>
      <c r="E121">
        <v>748744</v>
      </c>
      <c r="F121" s="9">
        <v>10.34986590877523</v>
      </c>
      <c r="G121">
        <v>52963</v>
      </c>
    </row>
    <row r="122" spans="1:7" x14ac:dyDescent="0.25">
      <c r="A122" s="2">
        <v>45656</v>
      </c>
      <c r="B122" t="s">
        <v>16</v>
      </c>
      <c r="C122">
        <v>9433</v>
      </c>
      <c r="D122">
        <v>1233</v>
      </c>
      <c r="E122">
        <v>756944</v>
      </c>
      <c r="F122" s="9">
        <v>11.391727789638329</v>
      </c>
      <c r="G122">
        <v>12096</v>
      </c>
    </row>
    <row r="123" spans="1:7" x14ac:dyDescent="0.25">
      <c r="A123" s="2">
        <v>45656</v>
      </c>
      <c r="B123" t="s">
        <v>19</v>
      </c>
      <c r="C123">
        <v>4897</v>
      </c>
      <c r="D123">
        <v>683</v>
      </c>
      <c r="E123">
        <v>761158</v>
      </c>
      <c r="F123" s="9">
        <v>15.06231294947961</v>
      </c>
      <c r="G123">
        <v>58201</v>
      </c>
    </row>
    <row r="124" spans="1:7" x14ac:dyDescent="0.25">
      <c r="A124" s="2">
        <v>45656</v>
      </c>
      <c r="B124" t="s">
        <v>16</v>
      </c>
      <c r="C124">
        <v>9123</v>
      </c>
      <c r="D124">
        <v>746</v>
      </c>
      <c r="E124">
        <v>769535</v>
      </c>
      <c r="F124" s="9">
        <v>6.3086149427901264</v>
      </c>
      <c r="G124">
        <v>35279</v>
      </c>
    </row>
    <row r="125" spans="1:7" x14ac:dyDescent="0.25">
      <c r="A125" s="2">
        <v>45656</v>
      </c>
      <c r="B125" t="s">
        <v>33</v>
      </c>
      <c r="C125">
        <v>3279</v>
      </c>
      <c r="D125">
        <v>200</v>
      </c>
      <c r="E125">
        <v>772614</v>
      </c>
      <c r="F125" s="9">
        <v>5.0212654702089274</v>
      </c>
      <c r="G125">
        <v>53363</v>
      </c>
    </row>
    <row r="126" spans="1:7" x14ac:dyDescent="0.25">
      <c r="A126" s="2">
        <v>45663</v>
      </c>
      <c r="B126" t="s">
        <v>16</v>
      </c>
      <c r="C126">
        <v>9980</v>
      </c>
      <c r="D126">
        <v>726</v>
      </c>
      <c r="E126">
        <v>781868</v>
      </c>
      <c r="F126" s="9">
        <v>4.0220344099003924</v>
      </c>
      <c r="G126">
        <v>58709</v>
      </c>
    </row>
    <row r="127" spans="1:7" x14ac:dyDescent="0.25">
      <c r="A127" s="2">
        <v>45663</v>
      </c>
      <c r="B127" t="s">
        <v>33</v>
      </c>
      <c r="C127">
        <v>8451</v>
      </c>
      <c r="D127">
        <v>783</v>
      </c>
      <c r="E127">
        <v>789536</v>
      </c>
      <c r="F127" s="9">
        <v>12.407287318121019</v>
      </c>
      <c r="G127">
        <v>36201</v>
      </c>
    </row>
    <row r="128" spans="1:7" x14ac:dyDescent="0.25">
      <c r="A128" s="2">
        <v>45663</v>
      </c>
      <c r="B128" t="s">
        <v>12</v>
      </c>
      <c r="C128">
        <v>9906</v>
      </c>
      <c r="D128">
        <v>1305</v>
      </c>
      <c r="E128">
        <v>798137</v>
      </c>
      <c r="F128" s="9">
        <v>9.1811305577864442</v>
      </c>
      <c r="G128">
        <v>29715</v>
      </c>
    </row>
    <row r="129" spans="1:7" x14ac:dyDescent="0.25">
      <c r="A129" s="2">
        <v>45663</v>
      </c>
      <c r="B129" t="s">
        <v>33</v>
      </c>
      <c r="C129">
        <v>1775</v>
      </c>
      <c r="D129">
        <v>241</v>
      </c>
      <c r="E129">
        <v>799671</v>
      </c>
      <c r="F129" s="9">
        <v>8.1379717408784362</v>
      </c>
      <c r="G129">
        <v>39309</v>
      </c>
    </row>
    <row r="130" spans="1:7" x14ac:dyDescent="0.25">
      <c r="A130" s="2">
        <v>45670</v>
      </c>
      <c r="B130" t="s">
        <v>16</v>
      </c>
      <c r="C130">
        <v>7869</v>
      </c>
      <c r="D130">
        <v>398</v>
      </c>
      <c r="E130">
        <v>807142</v>
      </c>
      <c r="F130" s="9">
        <v>15.211945357818079</v>
      </c>
      <c r="G130">
        <v>25078</v>
      </c>
    </row>
    <row r="131" spans="1:7" x14ac:dyDescent="0.25">
      <c r="A131" s="2">
        <v>45670</v>
      </c>
      <c r="B131" t="s">
        <v>19</v>
      </c>
      <c r="C131">
        <v>3247</v>
      </c>
      <c r="D131">
        <v>328</v>
      </c>
      <c r="E131">
        <v>810061</v>
      </c>
      <c r="F131" s="9">
        <v>13.941172331466399</v>
      </c>
      <c r="G131">
        <v>15105</v>
      </c>
    </row>
    <row r="132" spans="1:7" x14ac:dyDescent="0.25">
      <c r="A132" s="2">
        <v>45670</v>
      </c>
      <c r="B132" t="s">
        <v>33</v>
      </c>
      <c r="C132">
        <v>8088</v>
      </c>
      <c r="D132">
        <v>742</v>
      </c>
      <c r="E132">
        <v>817407</v>
      </c>
      <c r="F132" s="9">
        <v>14.664542877660701</v>
      </c>
      <c r="G132">
        <v>39312</v>
      </c>
    </row>
    <row r="133" spans="1:7" x14ac:dyDescent="0.25">
      <c r="A133" s="2">
        <v>45670</v>
      </c>
      <c r="B133" t="s">
        <v>12</v>
      </c>
      <c r="C133">
        <v>1078</v>
      </c>
      <c r="D133">
        <v>77</v>
      </c>
      <c r="E133">
        <v>818408</v>
      </c>
      <c r="F133" s="9">
        <v>18.236747441373989</v>
      </c>
      <c r="G133">
        <v>12839</v>
      </c>
    </row>
    <row r="134" spans="1:7" x14ac:dyDescent="0.25">
      <c r="A134" s="2">
        <v>45677</v>
      </c>
      <c r="B134" t="s">
        <v>33</v>
      </c>
      <c r="C134">
        <v>9080</v>
      </c>
      <c r="D134">
        <v>562</v>
      </c>
      <c r="E134">
        <v>826926</v>
      </c>
      <c r="F134" s="9">
        <v>7.1083748727213809</v>
      </c>
      <c r="G134">
        <v>13384</v>
      </c>
    </row>
    <row r="135" spans="1:7" x14ac:dyDescent="0.25">
      <c r="A135" s="2">
        <v>45677</v>
      </c>
      <c r="B135" t="s">
        <v>33</v>
      </c>
      <c r="C135">
        <v>8099</v>
      </c>
      <c r="D135">
        <v>678</v>
      </c>
      <c r="E135">
        <v>834347</v>
      </c>
      <c r="F135" s="9">
        <v>7.6464588474579518</v>
      </c>
      <c r="G135">
        <v>53619</v>
      </c>
    </row>
    <row r="136" spans="1:7" x14ac:dyDescent="0.25">
      <c r="A136" s="2">
        <v>45677</v>
      </c>
      <c r="B136" t="s">
        <v>33</v>
      </c>
      <c r="C136">
        <v>4926</v>
      </c>
      <c r="D136">
        <v>710</v>
      </c>
      <c r="E136">
        <v>838563</v>
      </c>
      <c r="F136" s="9">
        <v>12.96217457722318</v>
      </c>
      <c r="G136">
        <v>52821</v>
      </c>
    </row>
    <row r="137" spans="1:7" x14ac:dyDescent="0.25">
      <c r="A137" s="2">
        <v>45677</v>
      </c>
      <c r="B137" t="s">
        <v>12</v>
      </c>
      <c r="C137">
        <v>8340</v>
      </c>
      <c r="D137">
        <v>686</v>
      </c>
      <c r="E137">
        <v>846217</v>
      </c>
      <c r="F137" s="9">
        <v>7.201344336027284</v>
      </c>
      <c r="G137">
        <v>23493</v>
      </c>
    </row>
    <row r="138" spans="1:7" x14ac:dyDescent="0.25">
      <c r="A138" s="2">
        <v>45684</v>
      </c>
      <c r="B138" t="s">
        <v>16</v>
      </c>
      <c r="C138">
        <v>8083</v>
      </c>
      <c r="D138">
        <v>823</v>
      </c>
      <c r="E138">
        <v>853477</v>
      </c>
      <c r="F138" s="9">
        <v>4.6300017457998282</v>
      </c>
      <c r="G138">
        <v>27069</v>
      </c>
    </row>
    <row r="139" spans="1:7" x14ac:dyDescent="0.25">
      <c r="A139" s="2">
        <v>45684</v>
      </c>
      <c r="B139" t="s">
        <v>33</v>
      </c>
      <c r="C139">
        <v>7230</v>
      </c>
      <c r="D139">
        <v>869</v>
      </c>
      <c r="E139">
        <v>859838</v>
      </c>
      <c r="F139" s="9">
        <v>7.0117859410726204</v>
      </c>
      <c r="G139">
        <v>56907</v>
      </c>
    </row>
    <row r="140" spans="1:7" x14ac:dyDescent="0.25">
      <c r="A140" s="2">
        <v>45684</v>
      </c>
      <c r="B140" t="s">
        <v>33</v>
      </c>
      <c r="C140">
        <v>5940</v>
      </c>
      <c r="D140">
        <v>512</v>
      </c>
      <c r="E140">
        <v>865266</v>
      </c>
      <c r="F140" s="9">
        <v>15.7972230504839</v>
      </c>
      <c r="G140">
        <v>17531</v>
      </c>
    </row>
    <row r="141" spans="1:7" x14ac:dyDescent="0.25">
      <c r="A141" s="2">
        <v>45684</v>
      </c>
      <c r="B141" t="s">
        <v>19</v>
      </c>
      <c r="C141">
        <v>4271</v>
      </c>
      <c r="D141">
        <v>628</v>
      </c>
      <c r="E141">
        <v>868909</v>
      </c>
      <c r="F141" s="9">
        <v>11.124410036033691</v>
      </c>
      <c r="G141">
        <v>47051</v>
      </c>
    </row>
    <row r="142" spans="1:7" x14ac:dyDescent="0.25">
      <c r="A142" s="2">
        <v>45691</v>
      </c>
      <c r="B142" t="s">
        <v>12</v>
      </c>
      <c r="C142">
        <v>4456</v>
      </c>
      <c r="D142">
        <v>651</v>
      </c>
      <c r="E142">
        <v>872714</v>
      </c>
      <c r="F142" s="9">
        <v>9.5052903929580594</v>
      </c>
      <c r="G142">
        <v>17736</v>
      </c>
    </row>
    <row r="143" spans="1:7" x14ac:dyDescent="0.25">
      <c r="A143" s="2">
        <v>45691</v>
      </c>
      <c r="B143" t="s">
        <v>33</v>
      </c>
      <c r="C143">
        <v>8788</v>
      </c>
      <c r="D143">
        <v>660</v>
      </c>
      <c r="E143">
        <v>880842</v>
      </c>
      <c r="F143" s="9">
        <v>3.7175793161543158</v>
      </c>
      <c r="G143">
        <v>17710</v>
      </c>
    </row>
    <row r="144" spans="1:7" x14ac:dyDescent="0.25">
      <c r="A144" s="2">
        <v>45691</v>
      </c>
      <c r="B144" t="s">
        <v>12</v>
      </c>
      <c r="C144">
        <v>9599</v>
      </c>
      <c r="D144">
        <v>957</v>
      </c>
      <c r="E144">
        <v>889484</v>
      </c>
      <c r="F144" s="9">
        <v>8.768004820772493</v>
      </c>
      <c r="G144">
        <v>11619</v>
      </c>
    </row>
    <row r="145" spans="1:7" x14ac:dyDescent="0.25">
      <c r="A145" s="2">
        <v>45691</v>
      </c>
      <c r="B145" t="s">
        <v>33</v>
      </c>
      <c r="C145">
        <v>8650</v>
      </c>
      <c r="D145">
        <v>692</v>
      </c>
      <c r="E145">
        <v>897442</v>
      </c>
      <c r="F145" s="9">
        <v>7.6673478620345374</v>
      </c>
      <c r="G145">
        <v>23975</v>
      </c>
    </row>
    <row r="146" spans="1:7" x14ac:dyDescent="0.25">
      <c r="A146" s="2">
        <v>45698</v>
      </c>
      <c r="B146" t="s">
        <v>16</v>
      </c>
      <c r="C146">
        <v>3711</v>
      </c>
      <c r="D146">
        <v>291</v>
      </c>
      <c r="E146">
        <v>900862</v>
      </c>
      <c r="F146" s="9">
        <v>14.24879726306582</v>
      </c>
      <c r="G146">
        <v>55603</v>
      </c>
    </row>
    <row r="147" spans="1:7" x14ac:dyDescent="0.25">
      <c r="A147" s="2">
        <v>45698</v>
      </c>
      <c r="B147" t="s">
        <v>16</v>
      </c>
      <c r="C147">
        <v>2668</v>
      </c>
      <c r="D147">
        <v>143</v>
      </c>
      <c r="E147">
        <v>903387</v>
      </c>
      <c r="F147" s="9">
        <v>15.903372530266649</v>
      </c>
      <c r="G147">
        <v>33252</v>
      </c>
    </row>
    <row r="148" spans="1:7" x14ac:dyDescent="0.25">
      <c r="A148" s="2">
        <v>45698</v>
      </c>
      <c r="B148" t="s">
        <v>33</v>
      </c>
      <c r="C148">
        <v>1147</v>
      </c>
      <c r="D148">
        <v>127</v>
      </c>
      <c r="E148">
        <v>904407</v>
      </c>
      <c r="F148" s="9">
        <v>1.3997016829812241</v>
      </c>
      <c r="G148">
        <v>25261</v>
      </c>
    </row>
    <row r="149" spans="1:7" x14ac:dyDescent="0.25">
      <c r="A149" s="2">
        <v>45698</v>
      </c>
      <c r="B149" t="s">
        <v>16</v>
      </c>
      <c r="C149">
        <v>7420</v>
      </c>
      <c r="D149">
        <v>743</v>
      </c>
      <c r="E149">
        <v>911084</v>
      </c>
      <c r="F149" s="9">
        <v>10.593534734448189</v>
      </c>
      <c r="G149">
        <v>11431</v>
      </c>
    </row>
    <row r="150" spans="1:7" x14ac:dyDescent="0.25">
      <c r="A150" s="2">
        <v>45705</v>
      </c>
      <c r="B150" t="s">
        <v>33</v>
      </c>
      <c r="C150">
        <v>1365</v>
      </c>
      <c r="D150">
        <v>75</v>
      </c>
      <c r="E150">
        <v>912374</v>
      </c>
      <c r="F150" s="9">
        <v>9.2688963078737441</v>
      </c>
      <c r="G150">
        <v>19067</v>
      </c>
    </row>
    <row r="151" spans="1:7" x14ac:dyDescent="0.25">
      <c r="A151" s="2">
        <v>45705</v>
      </c>
      <c r="B151" t="s">
        <v>16</v>
      </c>
      <c r="C151">
        <v>5531</v>
      </c>
      <c r="D151">
        <v>430</v>
      </c>
      <c r="E151">
        <v>917475</v>
      </c>
      <c r="F151" s="9">
        <v>2.7289026948963189</v>
      </c>
      <c r="G151">
        <v>47481</v>
      </c>
    </row>
    <row r="152" spans="1:7" x14ac:dyDescent="0.25">
      <c r="A152" s="2">
        <v>45705</v>
      </c>
      <c r="B152" t="s">
        <v>19</v>
      </c>
      <c r="C152">
        <v>6330</v>
      </c>
      <c r="D152">
        <v>891</v>
      </c>
      <c r="E152">
        <v>922914</v>
      </c>
      <c r="F152" s="9">
        <v>14.789893749580139</v>
      </c>
      <c r="G152">
        <v>37037</v>
      </c>
    </row>
    <row r="153" spans="1:7" x14ac:dyDescent="0.25">
      <c r="A153" s="2">
        <v>45705</v>
      </c>
      <c r="B153" t="s">
        <v>19</v>
      </c>
      <c r="C153">
        <v>6510</v>
      </c>
      <c r="D153">
        <v>481</v>
      </c>
      <c r="E153">
        <v>928943</v>
      </c>
      <c r="F153" s="9">
        <v>2.3800168578696428</v>
      </c>
      <c r="G153">
        <v>19557</v>
      </c>
    </row>
    <row r="154" spans="1:7" x14ac:dyDescent="0.25">
      <c r="A154" s="2">
        <v>45712</v>
      </c>
      <c r="B154" t="s">
        <v>19</v>
      </c>
      <c r="C154">
        <v>9754</v>
      </c>
      <c r="D154">
        <v>629</v>
      </c>
      <c r="E154">
        <v>938068</v>
      </c>
      <c r="F154" s="9">
        <v>3.4123325814333292</v>
      </c>
      <c r="G154">
        <v>19435</v>
      </c>
    </row>
    <row r="155" spans="1:7" x14ac:dyDescent="0.25">
      <c r="A155" s="2">
        <v>45712</v>
      </c>
      <c r="B155" t="s">
        <v>12</v>
      </c>
      <c r="C155">
        <v>9964</v>
      </c>
      <c r="D155">
        <v>985</v>
      </c>
      <c r="E155">
        <v>947047</v>
      </c>
      <c r="F155" s="9">
        <v>1.9837452629066989</v>
      </c>
      <c r="G155">
        <v>47766</v>
      </c>
    </row>
    <row r="156" spans="1:7" x14ac:dyDescent="0.25">
      <c r="A156" s="2">
        <v>45712</v>
      </c>
      <c r="B156" t="s">
        <v>12</v>
      </c>
      <c r="C156">
        <v>7493</v>
      </c>
      <c r="D156">
        <v>1113</v>
      </c>
      <c r="E156">
        <v>953427</v>
      </c>
      <c r="F156" s="9">
        <v>15.684892498324469</v>
      </c>
      <c r="G156">
        <v>10162</v>
      </c>
    </row>
    <row r="157" spans="1:7" x14ac:dyDescent="0.25">
      <c r="A157" s="2">
        <v>45712</v>
      </c>
      <c r="B157" t="s">
        <v>19</v>
      </c>
      <c r="C157">
        <v>6439</v>
      </c>
      <c r="D157">
        <v>477</v>
      </c>
      <c r="E157">
        <v>959389</v>
      </c>
      <c r="F157" s="9">
        <v>7.4744446725989153</v>
      </c>
      <c r="G157">
        <v>44742</v>
      </c>
    </row>
    <row r="158" spans="1:7" x14ac:dyDescent="0.25">
      <c r="A158" s="2">
        <v>45719</v>
      </c>
      <c r="B158" t="s">
        <v>12</v>
      </c>
      <c r="C158">
        <v>7511</v>
      </c>
      <c r="D158">
        <v>880</v>
      </c>
      <c r="E158">
        <v>966020</v>
      </c>
      <c r="F158" s="9">
        <v>4.6083932009689246</v>
      </c>
      <c r="G158">
        <v>29675</v>
      </c>
    </row>
    <row r="159" spans="1:7" x14ac:dyDescent="0.25">
      <c r="A159" s="2">
        <v>45719</v>
      </c>
      <c r="B159" t="s">
        <v>16</v>
      </c>
      <c r="C159">
        <v>8504</v>
      </c>
      <c r="D159">
        <v>1072</v>
      </c>
      <c r="E159">
        <v>973452</v>
      </c>
      <c r="F159" s="9">
        <v>6.5651927367759271</v>
      </c>
      <c r="G159">
        <v>18461</v>
      </c>
    </row>
    <row r="160" spans="1:7" x14ac:dyDescent="0.25">
      <c r="A160" s="2">
        <v>45719</v>
      </c>
      <c r="B160" t="s">
        <v>33</v>
      </c>
      <c r="C160">
        <v>2246</v>
      </c>
      <c r="D160">
        <v>165</v>
      </c>
      <c r="E160">
        <v>975533</v>
      </c>
      <c r="F160" s="9">
        <v>2.9062061457685191</v>
      </c>
      <c r="G160">
        <v>27015</v>
      </c>
    </row>
    <row r="161" spans="1:7" x14ac:dyDescent="0.25">
      <c r="A161" s="2">
        <v>45719</v>
      </c>
      <c r="B161" t="s">
        <v>33</v>
      </c>
      <c r="C161">
        <v>4839</v>
      </c>
      <c r="D161">
        <v>594</v>
      </c>
      <c r="E161">
        <v>979778</v>
      </c>
      <c r="F161" s="9">
        <v>2.5803804535313102</v>
      </c>
      <c r="G161">
        <v>42591</v>
      </c>
    </row>
    <row r="162" spans="1:7" x14ac:dyDescent="0.25">
      <c r="A162" s="2">
        <v>45726</v>
      </c>
      <c r="B162" t="s">
        <v>33</v>
      </c>
      <c r="C162">
        <v>9551</v>
      </c>
      <c r="D162">
        <v>828</v>
      </c>
      <c r="E162">
        <v>988501</v>
      </c>
      <c r="F162" s="9">
        <v>1.525036393488727</v>
      </c>
      <c r="G162">
        <v>38047</v>
      </c>
    </row>
    <row r="163" spans="1:7" x14ac:dyDescent="0.25">
      <c r="A163" s="2">
        <v>45726</v>
      </c>
      <c r="B163" t="s">
        <v>19</v>
      </c>
      <c r="C163">
        <v>3376</v>
      </c>
      <c r="D163">
        <v>382</v>
      </c>
      <c r="E163">
        <v>991495</v>
      </c>
      <c r="F163" s="9">
        <v>3.8694093263203548</v>
      </c>
      <c r="G163">
        <v>44782</v>
      </c>
    </row>
    <row r="164" spans="1:7" x14ac:dyDescent="0.25">
      <c r="A164" s="2">
        <v>45726</v>
      </c>
      <c r="B164" t="s">
        <v>12</v>
      </c>
      <c r="C164">
        <v>4009</v>
      </c>
      <c r="D164">
        <v>454</v>
      </c>
      <c r="E164">
        <v>995050</v>
      </c>
      <c r="F164" s="9">
        <v>2.1106477061454201</v>
      </c>
      <c r="G164">
        <v>19833</v>
      </c>
    </row>
    <row r="165" spans="1:7" x14ac:dyDescent="0.25">
      <c r="A165" s="2">
        <v>45726</v>
      </c>
      <c r="B165" t="s">
        <v>16</v>
      </c>
      <c r="C165">
        <v>2827</v>
      </c>
      <c r="D165">
        <v>292</v>
      </c>
      <c r="E165">
        <v>997585</v>
      </c>
      <c r="F165" s="9">
        <v>2.4004972007397871</v>
      </c>
      <c r="G165">
        <v>17896</v>
      </c>
    </row>
    <row r="166" spans="1:7" x14ac:dyDescent="0.25">
      <c r="A166" s="2">
        <v>45733</v>
      </c>
      <c r="B166" t="s">
        <v>16</v>
      </c>
      <c r="C166">
        <v>7979</v>
      </c>
      <c r="D166">
        <v>470</v>
      </c>
      <c r="E166">
        <v>1005094</v>
      </c>
      <c r="F166" s="9">
        <v>10.43086517280971</v>
      </c>
      <c r="G166">
        <v>42972</v>
      </c>
    </row>
    <row r="167" spans="1:7" x14ac:dyDescent="0.25">
      <c r="A167" s="2">
        <v>45733</v>
      </c>
      <c r="B167" t="s">
        <v>19</v>
      </c>
      <c r="C167">
        <v>9569</v>
      </c>
      <c r="D167">
        <v>1277</v>
      </c>
      <c r="E167">
        <v>1013386</v>
      </c>
      <c r="F167" s="9">
        <v>12.45517502708741</v>
      </c>
      <c r="G167">
        <v>59733</v>
      </c>
    </row>
    <row r="168" spans="1:7" x14ac:dyDescent="0.25">
      <c r="A168" s="2">
        <v>45733</v>
      </c>
      <c r="B168" t="s">
        <v>16</v>
      </c>
      <c r="C168">
        <v>5285</v>
      </c>
      <c r="D168">
        <v>433</v>
      </c>
      <c r="E168">
        <v>1018238</v>
      </c>
      <c r="F168" s="9">
        <v>8.7022876773406619</v>
      </c>
      <c r="G168">
        <v>51800</v>
      </c>
    </row>
    <row r="169" spans="1:7" x14ac:dyDescent="0.25">
      <c r="A169" s="2">
        <v>45733</v>
      </c>
      <c r="B169" t="s">
        <v>16</v>
      </c>
      <c r="C169">
        <v>7910</v>
      </c>
      <c r="D169">
        <v>543</v>
      </c>
      <c r="E169">
        <v>1025605</v>
      </c>
      <c r="F169" s="9">
        <v>6.0590578244060822</v>
      </c>
      <c r="G169">
        <v>40508</v>
      </c>
    </row>
    <row r="170" spans="1:7" x14ac:dyDescent="0.25">
      <c r="A170" s="2">
        <v>45740</v>
      </c>
      <c r="B170" t="s">
        <v>16</v>
      </c>
      <c r="C170">
        <v>9561</v>
      </c>
      <c r="D170">
        <v>517</v>
      </c>
      <c r="E170">
        <v>1034649</v>
      </c>
      <c r="F170" s="9">
        <v>6.4086467971263694</v>
      </c>
      <c r="G170">
        <v>15347</v>
      </c>
    </row>
    <row r="171" spans="1:7" x14ac:dyDescent="0.25">
      <c r="A171" s="2">
        <v>45740</v>
      </c>
      <c r="B171" t="s">
        <v>16</v>
      </c>
      <c r="C171">
        <v>3196</v>
      </c>
      <c r="D171">
        <v>348</v>
      </c>
      <c r="E171">
        <v>1037497</v>
      </c>
      <c r="F171" s="9">
        <v>14.03040201562029</v>
      </c>
      <c r="G171">
        <v>40314</v>
      </c>
    </row>
    <row r="172" spans="1:7" x14ac:dyDescent="0.25">
      <c r="A172" s="2">
        <v>45740</v>
      </c>
      <c r="B172" t="s">
        <v>12</v>
      </c>
      <c r="C172">
        <v>4747</v>
      </c>
      <c r="D172">
        <v>558</v>
      </c>
      <c r="E172">
        <v>1041686</v>
      </c>
      <c r="F172" s="9">
        <v>5.7680529449373434</v>
      </c>
      <c r="G172">
        <v>12643</v>
      </c>
    </row>
    <row r="173" spans="1:7" x14ac:dyDescent="0.25">
      <c r="A173" s="2">
        <v>45740</v>
      </c>
      <c r="B173" t="s">
        <v>16</v>
      </c>
      <c r="C173">
        <v>9843</v>
      </c>
      <c r="D173">
        <v>508</v>
      </c>
      <c r="E173">
        <v>1051021</v>
      </c>
      <c r="F173" s="9">
        <v>4.2080986012648651</v>
      </c>
      <c r="G173">
        <v>50785</v>
      </c>
    </row>
    <row r="174" spans="1:7" x14ac:dyDescent="0.25">
      <c r="A174" s="2">
        <v>45747</v>
      </c>
      <c r="B174" t="s">
        <v>33</v>
      </c>
      <c r="C174">
        <v>6978</v>
      </c>
      <c r="D174">
        <v>706</v>
      </c>
      <c r="E174">
        <v>1057293</v>
      </c>
      <c r="F174" s="9">
        <v>5.057443868445171</v>
      </c>
      <c r="G174">
        <v>28681</v>
      </c>
    </row>
    <row r="175" spans="1:7" x14ac:dyDescent="0.25">
      <c r="A175" s="2">
        <v>45747</v>
      </c>
      <c r="B175" t="s">
        <v>19</v>
      </c>
      <c r="C175">
        <v>6607</v>
      </c>
      <c r="D175">
        <v>479</v>
      </c>
      <c r="E175">
        <v>1063421</v>
      </c>
      <c r="F175" s="9">
        <v>5.5892257158735816</v>
      </c>
      <c r="G175">
        <v>48328</v>
      </c>
    </row>
    <row r="176" spans="1:7" x14ac:dyDescent="0.25">
      <c r="A176" s="2">
        <v>45747</v>
      </c>
      <c r="B176" t="s">
        <v>12</v>
      </c>
      <c r="C176">
        <v>1769</v>
      </c>
      <c r="D176">
        <v>202</v>
      </c>
      <c r="E176">
        <v>1064988</v>
      </c>
      <c r="F176" s="9">
        <v>6.5457075572682513</v>
      </c>
      <c r="G176">
        <v>25892</v>
      </c>
    </row>
    <row r="177" spans="1:7" x14ac:dyDescent="0.25">
      <c r="A177" s="2">
        <v>45747</v>
      </c>
      <c r="B177" t="s">
        <v>16</v>
      </c>
      <c r="C177">
        <v>1780</v>
      </c>
      <c r="D177">
        <v>120</v>
      </c>
      <c r="E177">
        <v>1066648</v>
      </c>
      <c r="F177" s="9">
        <v>13.86474263299608</v>
      </c>
      <c r="G177">
        <v>57299</v>
      </c>
    </row>
    <row r="178" spans="1:7" x14ac:dyDescent="0.25">
      <c r="A178" s="2">
        <v>45754</v>
      </c>
      <c r="B178" t="s">
        <v>12</v>
      </c>
      <c r="C178">
        <v>7303</v>
      </c>
      <c r="D178">
        <v>869</v>
      </c>
      <c r="E178">
        <v>1073082</v>
      </c>
      <c r="F178" s="9">
        <v>8.1237966902808925</v>
      </c>
      <c r="G178">
        <v>27073</v>
      </c>
    </row>
    <row r="179" spans="1:7" x14ac:dyDescent="0.25">
      <c r="A179" s="2">
        <v>45754</v>
      </c>
      <c r="B179" t="s">
        <v>16</v>
      </c>
      <c r="C179">
        <v>4983</v>
      </c>
      <c r="D179">
        <v>441</v>
      </c>
      <c r="E179">
        <v>1077624</v>
      </c>
      <c r="F179" s="9">
        <v>6.8954477628560609</v>
      </c>
      <c r="G179">
        <v>46768</v>
      </c>
    </row>
    <row r="180" spans="1:7" x14ac:dyDescent="0.25">
      <c r="A180" s="2">
        <v>45754</v>
      </c>
      <c r="B180" t="s">
        <v>33</v>
      </c>
      <c r="C180">
        <v>9714</v>
      </c>
      <c r="D180">
        <v>1395</v>
      </c>
      <c r="E180">
        <v>1085943</v>
      </c>
      <c r="F180" s="9">
        <v>5.2243073531483697</v>
      </c>
      <c r="G180">
        <v>40682</v>
      </c>
    </row>
    <row r="181" spans="1:7" x14ac:dyDescent="0.25">
      <c r="A181" s="2">
        <v>45754</v>
      </c>
      <c r="B181" t="s">
        <v>19</v>
      </c>
      <c r="C181">
        <v>1521</v>
      </c>
      <c r="D181">
        <v>96</v>
      </c>
      <c r="E181">
        <v>1087368</v>
      </c>
      <c r="F181" s="9">
        <v>12.709772588488899</v>
      </c>
      <c r="G181">
        <v>42262</v>
      </c>
    </row>
    <row r="182" spans="1:7" x14ac:dyDescent="0.25">
      <c r="A182" s="2">
        <v>45761</v>
      </c>
      <c r="B182" t="s">
        <v>16</v>
      </c>
      <c r="C182">
        <v>8569</v>
      </c>
      <c r="D182">
        <v>720</v>
      </c>
      <c r="E182">
        <v>1095217</v>
      </c>
      <c r="F182" s="9">
        <v>9.589697749395782</v>
      </c>
      <c r="G182">
        <v>41358</v>
      </c>
    </row>
    <row r="183" spans="1:7" x14ac:dyDescent="0.25">
      <c r="A183" s="2">
        <v>45761</v>
      </c>
      <c r="B183" t="s">
        <v>16</v>
      </c>
      <c r="C183">
        <v>6784</v>
      </c>
      <c r="D183">
        <v>416</v>
      </c>
      <c r="E183">
        <v>1101585</v>
      </c>
      <c r="F183" s="9">
        <v>9.3041390360253633</v>
      </c>
      <c r="G183">
        <v>24289</v>
      </c>
    </row>
    <row r="184" spans="1:7" x14ac:dyDescent="0.25">
      <c r="A184" s="2">
        <v>45761</v>
      </c>
      <c r="B184" t="s">
        <v>16</v>
      </c>
      <c r="C184">
        <v>5583</v>
      </c>
      <c r="D184">
        <v>795</v>
      </c>
      <c r="E184">
        <v>1106373</v>
      </c>
      <c r="F184" s="9">
        <v>12.21550055903389</v>
      </c>
      <c r="G184">
        <v>59823</v>
      </c>
    </row>
    <row r="185" spans="1:7" x14ac:dyDescent="0.25">
      <c r="A185" s="2">
        <v>45761</v>
      </c>
      <c r="B185" t="s">
        <v>16</v>
      </c>
      <c r="C185">
        <v>6946</v>
      </c>
      <c r="D185">
        <v>956</v>
      </c>
      <c r="E185">
        <v>1112363</v>
      </c>
      <c r="F185" s="9">
        <v>1.64146056637986</v>
      </c>
      <c r="G185">
        <v>17927</v>
      </c>
    </row>
    <row r="186" spans="1:7" x14ac:dyDescent="0.25">
      <c r="A186" s="2">
        <v>45768</v>
      </c>
      <c r="B186" t="s">
        <v>19</v>
      </c>
      <c r="C186">
        <v>5941</v>
      </c>
      <c r="D186">
        <v>450</v>
      </c>
      <c r="E186">
        <v>1117854</v>
      </c>
      <c r="F186" s="9">
        <v>12.414411899944</v>
      </c>
      <c r="G186">
        <v>58330</v>
      </c>
    </row>
    <row r="187" spans="1:7" x14ac:dyDescent="0.25">
      <c r="A187" s="2">
        <v>45768</v>
      </c>
      <c r="B187" t="s">
        <v>19</v>
      </c>
      <c r="C187">
        <v>7267</v>
      </c>
      <c r="D187">
        <v>842</v>
      </c>
      <c r="E187">
        <v>1124279</v>
      </c>
      <c r="F187" s="9">
        <v>2.2102165031989389</v>
      </c>
      <c r="G187">
        <v>11171</v>
      </c>
    </row>
    <row r="188" spans="1:7" x14ac:dyDescent="0.25">
      <c r="A188" s="2">
        <v>45768</v>
      </c>
      <c r="B188" t="s">
        <v>33</v>
      </c>
      <c r="C188">
        <v>8128</v>
      </c>
      <c r="D188">
        <v>1070</v>
      </c>
      <c r="E188">
        <v>1131337</v>
      </c>
      <c r="F188" s="9">
        <v>8.1114645768679008</v>
      </c>
      <c r="G188">
        <v>21918</v>
      </c>
    </row>
    <row r="189" spans="1:7" x14ac:dyDescent="0.25">
      <c r="A189" s="2">
        <v>45768</v>
      </c>
      <c r="B189" t="s">
        <v>19</v>
      </c>
      <c r="C189">
        <v>3461</v>
      </c>
      <c r="D189">
        <v>365</v>
      </c>
      <c r="E189">
        <v>1134433</v>
      </c>
      <c r="F189" s="9">
        <v>10.23489267325616</v>
      </c>
      <c r="G189">
        <v>51903</v>
      </c>
    </row>
    <row r="190" spans="1:7" x14ac:dyDescent="0.25">
      <c r="A190" s="2">
        <v>45775</v>
      </c>
      <c r="B190" t="s">
        <v>16</v>
      </c>
      <c r="C190">
        <v>1685</v>
      </c>
      <c r="D190">
        <v>173</v>
      </c>
      <c r="E190">
        <v>1135945</v>
      </c>
      <c r="F190" s="9">
        <v>8.7776256772995165</v>
      </c>
      <c r="G190">
        <v>49110</v>
      </c>
    </row>
    <row r="191" spans="1:7" x14ac:dyDescent="0.25">
      <c r="A191" s="2">
        <v>45775</v>
      </c>
      <c r="B191" t="s">
        <v>33</v>
      </c>
      <c r="C191">
        <v>3160</v>
      </c>
      <c r="D191">
        <v>234</v>
      </c>
      <c r="E191">
        <v>1138871</v>
      </c>
      <c r="F191" s="9">
        <v>5.6959041015180816</v>
      </c>
      <c r="G191">
        <v>21929</v>
      </c>
    </row>
    <row r="192" spans="1:7" x14ac:dyDescent="0.25">
      <c r="A192" s="2">
        <v>45775</v>
      </c>
      <c r="B192" t="s">
        <v>33</v>
      </c>
      <c r="C192">
        <v>8031</v>
      </c>
      <c r="D192">
        <v>476</v>
      </c>
      <c r="E192">
        <v>1146426</v>
      </c>
      <c r="F192" s="9">
        <v>11.940413075069831</v>
      </c>
      <c r="G192">
        <v>12539</v>
      </c>
    </row>
    <row r="193" spans="1:7" x14ac:dyDescent="0.25">
      <c r="A193" s="2">
        <v>45775</v>
      </c>
      <c r="B193" t="s">
        <v>33</v>
      </c>
      <c r="C193">
        <v>6341</v>
      </c>
      <c r="D193">
        <v>885</v>
      </c>
      <c r="E193">
        <v>1151882</v>
      </c>
      <c r="F193" s="9">
        <v>6.3457020771224837</v>
      </c>
      <c r="G193">
        <v>46727</v>
      </c>
    </row>
    <row r="194" spans="1:7" x14ac:dyDescent="0.25">
      <c r="A194" s="2">
        <v>45782</v>
      </c>
      <c r="B194" t="s">
        <v>16</v>
      </c>
      <c r="C194">
        <v>1038</v>
      </c>
      <c r="D194">
        <v>145</v>
      </c>
      <c r="E194">
        <v>1152775</v>
      </c>
      <c r="F194" s="9">
        <v>11.093752033137431</v>
      </c>
      <c r="G194">
        <v>55951</v>
      </c>
    </row>
    <row r="195" spans="1:7" x14ac:dyDescent="0.25">
      <c r="A195" s="2">
        <v>45782</v>
      </c>
      <c r="B195" t="s">
        <v>12</v>
      </c>
      <c r="C195">
        <v>5875</v>
      </c>
      <c r="D195">
        <v>665</v>
      </c>
      <c r="E195">
        <v>1157985</v>
      </c>
      <c r="F195" s="9">
        <v>6.9871371390821126</v>
      </c>
      <c r="G195">
        <v>32669</v>
      </c>
    </row>
    <row r="196" spans="1:7" x14ac:dyDescent="0.25">
      <c r="A196" s="2">
        <v>45782</v>
      </c>
      <c r="B196" t="s">
        <v>16</v>
      </c>
      <c r="C196">
        <v>2256</v>
      </c>
      <c r="D196">
        <v>189</v>
      </c>
      <c r="E196">
        <v>1160052</v>
      </c>
      <c r="F196" s="9">
        <v>2.8935771844710412</v>
      </c>
      <c r="G196">
        <v>15432</v>
      </c>
    </row>
    <row r="197" spans="1:7" x14ac:dyDescent="0.25">
      <c r="A197" s="2">
        <v>45782</v>
      </c>
      <c r="B197" t="s">
        <v>19</v>
      </c>
      <c r="C197">
        <v>8697</v>
      </c>
      <c r="D197">
        <v>738</v>
      </c>
      <c r="E197">
        <v>1168011</v>
      </c>
      <c r="F197" s="9">
        <v>3.8777032065622672</v>
      </c>
      <c r="G197">
        <v>30644</v>
      </c>
    </row>
    <row r="198" spans="1:7" x14ac:dyDescent="0.25">
      <c r="A198" s="2">
        <v>45789</v>
      </c>
      <c r="B198" t="s">
        <v>19</v>
      </c>
      <c r="C198">
        <v>3196</v>
      </c>
      <c r="D198">
        <v>391</v>
      </c>
      <c r="E198">
        <v>1170816</v>
      </c>
      <c r="F198" s="9">
        <v>7.2439221876024931</v>
      </c>
      <c r="G198">
        <v>28745</v>
      </c>
    </row>
    <row r="199" spans="1:7" x14ac:dyDescent="0.25">
      <c r="A199" s="2">
        <v>45789</v>
      </c>
      <c r="B199" t="s">
        <v>16</v>
      </c>
      <c r="C199">
        <v>8165</v>
      </c>
      <c r="D199">
        <v>1140</v>
      </c>
      <c r="E199">
        <v>1177841</v>
      </c>
      <c r="F199" s="9">
        <v>9.095964565675672</v>
      </c>
      <c r="G199">
        <v>38228</v>
      </c>
    </row>
    <row r="200" spans="1:7" x14ac:dyDescent="0.25">
      <c r="A200" s="2">
        <v>45789</v>
      </c>
      <c r="B200" t="s">
        <v>16</v>
      </c>
      <c r="C200">
        <v>1301</v>
      </c>
      <c r="D200">
        <v>180</v>
      </c>
      <c r="E200">
        <v>1178962</v>
      </c>
      <c r="F200" s="9">
        <v>5.2275645864752214</v>
      </c>
      <c r="G200">
        <v>44521</v>
      </c>
    </row>
    <row r="201" spans="1:7" x14ac:dyDescent="0.25">
      <c r="A201" s="2">
        <v>45789</v>
      </c>
      <c r="B201" t="s">
        <v>33</v>
      </c>
      <c r="C201">
        <v>8527</v>
      </c>
      <c r="D201">
        <v>1091</v>
      </c>
      <c r="E201">
        <v>1186398</v>
      </c>
      <c r="F201" s="9">
        <v>1.676081719625286</v>
      </c>
      <c r="G201">
        <v>41703</v>
      </c>
    </row>
    <row r="202" spans="1:7" x14ac:dyDescent="0.25">
      <c r="F20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4E0A-E5AB-4F37-9376-FCA738AE354C}">
  <dimension ref="A1:G6"/>
  <sheetViews>
    <sheetView workbookViewId="0">
      <selection activeCell="E2" sqref="E2"/>
    </sheetView>
  </sheetViews>
  <sheetFormatPr defaultRowHeight="15" x14ac:dyDescent="0.25"/>
  <cols>
    <col min="1" max="1" width="28.85546875" bestFit="1" customWidth="1"/>
    <col min="2" max="2" width="12.5703125" style="2" bestFit="1" customWidth="1"/>
    <col min="3" max="3" width="11.7109375" style="2" bestFit="1" customWidth="1"/>
    <col min="4" max="4" width="26.140625" bestFit="1" customWidth="1"/>
    <col min="5" max="5" width="26" style="9" customWidth="1"/>
    <col min="6" max="6" width="14" style="9" bestFit="1" customWidth="1"/>
    <col min="7" max="7" width="20.7109375" bestFit="1" customWidth="1"/>
  </cols>
  <sheetData>
    <row r="1" spans="1:7" x14ac:dyDescent="0.25">
      <c r="A1" t="s">
        <v>332</v>
      </c>
      <c r="B1" s="2" t="s">
        <v>333</v>
      </c>
      <c r="C1" s="2" t="s">
        <v>334</v>
      </c>
      <c r="D1" t="s">
        <v>335</v>
      </c>
      <c r="E1" s="9" t="s">
        <v>331</v>
      </c>
      <c r="F1" s="9" t="s">
        <v>9</v>
      </c>
      <c r="G1" t="s">
        <v>336</v>
      </c>
    </row>
    <row r="2" spans="1:7" x14ac:dyDescent="0.25">
      <c r="A2" t="s">
        <v>24</v>
      </c>
      <c r="B2" s="2">
        <v>45458</v>
      </c>
      <c r="C2" s="2">
        <v>45488</v>
      </c>
      <c r="D2" t="s">
        <v>337</v>
      </c>
      <c r="E2" s="9">
        <v>85000</v>
      </c>
      <c r="F2" s="9">
        <v>950000</v>
      </c>
      <c r="G2">
        <v>0.45</v>
      </c>
    </row>
    <row r="3" spans="1:7" x14ac:dyDescent="0.25">
      <c r="A3" t="s">
        <v>37</v>
      </c>
      <c r="B3" s="2">
        <v>45566</v>
      </c>
      <c r="C3" s="2">
        <v>45596</v>
      </c>
      <c r="D3" t="s">
        <v>338</v>
      </c>
      <c r="E3" s="9">
        <v>60000</v>
      </c>
      <c r="F3" s="9">
        <v>780000</v>
      </c>
      <c r="G3">
        <v>0.38</v>
      </c>
    </row>
    <row r="4" spans="1:7" x14ac:dyDescent="0.25">
      <c r="A4" t="s">
        <v>14</v>
      </c>
      <c r="B4" s="2">
        <v>45651</v>
      </c>
      <c r="C4" s="2">
        <v>45667</v>
      </c>
      <c r="D4" t="s">
        <v>339</v>
      </c>
      <c r="E4" s="9">
        <v>55000</v>
      </c>
      <c r="F4" s="9">
        <v>700000</v>
      </c>
      <c r="G4">
        <v>0.41</v>
      </c>
    </row>
    <row r="5" spans="1:7" x14ac:dyDescent="0.25">
      <c r="A5" t="s">
        <v>21</v>
      </c>
      <c r="B5" s="2">
        <v>45717</v>
      </c>
      <c r="C5" s="2">
        <v>45747</v>
      </c>
      <c r="D5" t="s">
        <v>340</v>
      </c>
      <c r="E5" s="9">
        <v>40000</v>
      </c>
      <c r="F5" s="9">
        <v>550000</v>
      </c>
      <c r="G5">
        <v>0.32</v>
      </c>
    </row>
    <row r="6" spans="1:7" x14ac:dyDescent="0.25">
      <c r="A6" t="s">
        <v>17</v>
      </c>
      <c r="B6" s="2">
        <v>45901</v>
      </c>
      <c r="C6" s="2">
        <v>45930</v>
      </c>
      <c r="D6" t="s">
        <v>341</v>
      </c>
      <c r="E6" s="9">
        <v>75000</v>
      </c>
      <c r="F6" s="9">
        <v>880000</v>
      </c>
      <c r="G6">
        <v>0.47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523C-1FEE-4782-B3F8-1CA51B08BDE7}">
  <dimension ref="A1:N1000"/>
  <sheetViews>
    <sheetView workbookViewId="0">
      <selection activeCell="O11" sqref="O11"/>
    </sheetView>
  </sheetViews>
  <sheetFormatPr defaultRowHeight="15" x14ac:dyDescent="0.25"/>
  <cols>
    <col min="1" max="1" width="9" bestFit="1" customWidth="1"/>
    <col min="2" max="2" width="11" bestFit="1" customWidth="1"/>
    <col min="3" max="3" width="10.5703125" style="2" bestFit="1" customWidth="1"/>
    <col min="4" max="4" width="14.7109375" bestFit="1" customWidth="1"/>
    <col min="5" max="5" width="20.28515625" style="1" bestFit="1" customWidth="1"/>
    <col min="6" max="6" width="17" style="1" bestFit="1" customWidth="1"/>
    <col min="7" max="7" width="9.85546875" bestFit="1" customWidth="1"/>
    <col min="8" max="8" width="9.28515625" bestFit="1" customWidth="1"/>
    <col min="9" max="9" width="13" bestFit="1" customWidth="1"/>
    <col min="10" max="10" width="8.42578125" bestFit="1" customWidth="1"/>
    <col min="11" max="11" width="9.85546875" bestFit="1" customWidth="1"/>
    <col min="12" max="12" width="14" customWidth="1"/>
    <col min="13" max="13" width="28.85546875" bestFit="1" customWidth="1"/>
    <col min="14" max="14" width="18.28515625" customWidth="1"/>
    <col min="15" max="15" width="20.28515625" customWidth="1"/>
  </cols>
  <sheetData>
    <row r="1" spans="1:14" x14ac:dyDescent="0.25">
      <c r="A1" s="3" t="s">
        <v>0</v>
      </c>
      <c r="B1" s="3" t="s">
        <v>1</v>
      </c>
      <c r="C1" s="6" t="s">
        <v>2</v>
      </c>
      <c r="D1" s="3" t="s">
        <v>3</v>
      </c>
      <c r="E1" s="3" t="s">
        <v>342</v>
      </c>
      <c r="F1" s="3" t="s">
        <v>343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7" t="s">
        <v>367</v>
      </c>
    </row>
    <row r="2" spans="1:14" x14ac:dyDescent="0.25">
      <c r="A2" s="20" t="s">
        <v>107</v>
      </c>
      <c r="B2" s="20" t="s">
        <v>16</v>
      </c>
      <c r="C2" s="21">
        <v>45497</v>
      </c>
      <c r="D2" s="20" t="s">
        <v>23</v>
      </c>
      <c r="E2" s="20" t="s">
        <v>352</v>
      </c>
      <c r="F2" s="20" t="s">
        <v>353</v>
      </c>
      <c r="G2" s="22">
        <v>22914</v>
      </c>
      <c r="H2" s="22">
        <v>954</v>
      </c>
      <c r="I2" s="22">
        <v>584</v>
      </c>
      <c r="J2" s="22">
        <v>1519</v>
      </c>
      <c r="K2" s="22">
        <v>13637</v>
      </c>
      <c r="L2" s="22">
        <v>49847</v>
      </c>
      <c r="M2" s="20" t="s">
        <v>14</v>
      </c>
      <c r="N2" s="23">
        <f>SUM(Posts[[#This Row],[Likes]],Posts[[#This Row],[Shares]],Posts[[#This Row],[Comments]])/Posts[[#This Row],[Impressions]]</f>
        <v>0.49054105563022848</v>
      </c>
    </row>
    <row r="3" spans="1:14" x14ac:dyDescent="0.25">
      <c r="A3" s="20" t="s">
        <v>226</v>
      </c>
      <c r="B3" s="20" t="s">
        <v>12</v>
      </c>
      <c r="C3" s="21">
        <v>45672</v>
      </c>
      <c r="D3" s="20" t="s">
        <v>20</v>
      </c>
      <c r="E3" s="20" t="s">
        <v>27</v>
      </c>
      <c r="F3" s="20"/>
      <c r="G3" s="22">
        <v>20360</v>
      </c>
      <c r="H3" s="22">
        <v>254</v>
      </c>
      <c r="I3" s="22">
        <v>726</v>
      </c>
      <c r="J3" s="22">
        <v>1995</v>
      </c>
      <c r="K3" s="22">
        <v>14280</v>
      </c>
      <c r="L3" s="22">
        <v>43726</v>
      </c>
      <c r="M3" s="20" t="s">
        <v>24</v>
      </c>
      <c r="N3" s="23">
        <f>SUM(Posts[[#This Row],[Likes]],Posts[[#This Row],[Shares]],Posts[[#This Row],[Comments]])/Posts[[#This Row],[Impressions]]</f>
        <v>0.48803915290673738</v>
      </c>
    </row>
    <row r="4" spans="1:14" x14ac:dyDescent="0.25">
      <c r="A4" s="20" t="s">
        <v>146</v>
      </c>
      <c r="B4" s="20" t="s">
        <v>16</v>
      </c>
      <c r="C4" s="21">
        <v>45502</v>
      </c>
      <c r="D4" s="20" t="s">
        <v>23</v>
      </c>
      <c r="E4" s="20" t="s">
        <v>344</v>
      </c>
      <c r="F4" s="20" t="s">
        <v>345</v>
      </c>
      <c r="G4" s="22">
        <v>19144</v>
      </c>
      <c r="H4" s="22">
        <v>1182</v>
      </c>
      <c r="I4" s="22">
        <v>860</v>
      </c>
      <c r="J4" s="22">
        <v>1398</v>
      </c>
      <c r="K4" s="22">
        <v>4185</v>
      </c>
      <c r="L4" s="22">
        <v>46570</v>
      </c>
      <c r="M4" s="20" t="s">
        <v>14</v>
      </c>
      <c r="N4" s="23">
        <f>SUM(Posts[[#This Row],[Likes]],Posts[[#This Row],[Shares]],Posts[[#This Row],[Comments]])/Posts[[#This Row],[Impressions]]</f>
        <v>0.454928065278076</v>
      </c>
    </row>
    <row r="5" spans="1:14" x14ac:dyDescent="0.25">
      <c r="A5" s="20" t="s">
        <v>152</v>
      </c>
      <c r="B5" s="20" t="s">
        <v>33</v>
      </c>
      <c r="C5" s="21">
        <v>45684</v>
      </c>
      <c r="D5" s="20" t="s">
        <v>13</v>
      </c>
      <c r="E5" s="20" t="s">
        <v>350</v>
      </c>
      <c r="F5" s="20" t="s">
        <v>358</v>
      </c>
      <c r="G5" s="22">
        <v>24415</v>
      </c>
      <c r="H5" s="22">
        <v>860</v>
      </c>
      <c r="I5" s="22">
        <v>931</v>
      </c>
      <c r="J5" s="22">
        <v>320</v>
      </c>
      <c r="K5" s="22">
        <v>65049</v>
      </c>
      <c r="L5" s="22">
        <v>62911</v>
      </c>
      <c r="M5" s="20" t="s">
        <v>14</v>
      </c>
      <c r="N5" s="23">
        <f>SUM(Posts[[#This Row],[Likes]],Posts[[#This Row],[Shares]],Posts[[#This Row],[Comments]])/Posts[[#This Row],[Impressions]]</f>
        <v>0.41655672298962027</v>
      </c>
    </row>
    <row r="6" spans="1:14" x14ac:dyDescent="0.25">
      <c r="A6" s="20" t="s">
        <v>36</v>
      </c>
      <c r="B6" s="20" t="s">
        <v>12</v>
      </c>
      <c r="C6" s="21">
        <v>45614</v>
      </c>
      <c r="D6" s="20" t="s">
        <v>29</v>
      </c>
      <c r="E6" s="20" t="s">
        <v>352</v>
      </c>
      <c r="F6" s="20" t="s">
        <v>353</v>
      </c>
      <c r="G6" s="22">
        <v>21255</v>
      </c>
      <c r="H6" s="22">
        <v>1452</v>
      </c>
      <c r="I6" s="22">
        <v>625</v>
      </c>
      <c r="J6" s="22">
        <v>1624</v>
      </c>
      <c r="K6" s="22">
        <v>21282</v>
      </c>
      <c r="L6" s="22">
        <v>57778</v>
      </c>
      <c r="M6" s="20" t="s">
        <v>37</v>
      </c>
      <c r="N6" s="23">
        <f>SUM(Posts[[#This Row],[Likes]],Posts[[#This Row],[Shares]],Posts[[#This Row],[Comments]])/Posts[[#This Row],[Impressions]]</f>
        <v>0.40382152376337016</v>
      </c>
    </row>
    <row r="7" spans="1:14" x14ac:dyDescent="0.25">
      <c r="A7" s="20" t="s">
        <v>148</v>
      </c>
      <c r="B7" s="20" t="s">
        <v>33</v>
      </c>
      <c r="C7" s="21">
        <v>45457</v>
      </c>
      <c r="D7" s="20" t="s">
        <v>23</v>
      </c>
      <c r="E7" s="20" t="s">
        <v>350</v>
      </c>
      <c r="F7" s="20" t="s">
        <v>358</v>
      </c>
      <c r="G7" s="22">
        <v>17183</v>
      </c>
      <c r="H7" s="22">
        <v>1224</v>
      </c>
      <c r="I7" s="22">
        <v>943</v>
      </c>
      <c r="J7" s="22">
        <v>2010</v>
      </c>
      <c r="K7" s="22">
        <v>21481</v>
      </c>
      <c r="L7" s="22">
        <v>49110</v>
      </c>
      <c r="M7" s="20" t="s">
        <v>21</v>
      </c>
      <c r="N7" s="23">
        <f>SUM(Posts[[#This Row],[Likes]],Posts[[#This Row],[Shares]],Posts[[#This Row],[Comments]])/Posts[[#This Row],[Impressions]]</f>
        <v>0.39401343921808185</v>
      </c>
    </row>
    <row r="8" spans="1:14" x14ac:dyDescent="0.25">
      <c r="A8" s="20" t="s">
        <v>312</v>
      </c>
      <c r="B8" s="20" t="s">
        <v>19</v>
      </c>
      <c r="C8" s="21">
        <v>45519</v>
      </c>
      <c r="D8" s="20" t="s">
        <v>23</v>
      </c>
      <c r="E8" s="20" t="s">
        <v>350</v>
      </c>
      <c r="F8" s="20" t="s">
        <v>351</v>
      </c>
      <c r="G8" s="22">
        <v>14977</v>
      </c>
      <c r="H8" s="22">
        <v>274</v>
      </c>
      <c r="I8" s="22">
        <v>798</v>
      </c>
      <c r="J8" s="22">
        <v>458</v>
      </c>
      <c r="K8" s="22">
        <v>6636</v>
      </c>
      <c r="L8" s="22">
        <v>43654</v>
      </c>
      <c r="M8" s="20" t="s">
        <v>14</v>
      </c>
      <c r="N8" s="23">
        <f>SUM(Posts[[#This Row],[Likes]],Posts[[#This Row],[Shares]],Posts[[#This Row],[Comments]])/Posts[[#This Row],[Impressions]]</f>
        <v>0.36764099509781462</v>
      </c>
    </row>
    <row r="9" spans="1:14" x14ac:dyDescent="0.25">
      <c r="A9" s="20" t="s">
        <v>251</v>
      </c>
      <c r="B9" s="20" t="s">
        <v>33</v>
      </c>
      <c r="C9" s="21">
        <v>45908</v>
      </c>
      <c r="D9" s="20" t="s">
        <v>20</v>
      </c>
      <c r="E9" s="20" t="s">
        <v>354</v>
      </c>
      <c r="F9" s="20" t="s">
        <v>355</v>
      </c>
      <c r="G9" s="22">
        <v>23785</v>
      </c>
      <c r="H9" s="22">
        <v>1013</v>
      </c>
      <c r="I9" s="22">
        <v>468</v>
      </c>
      <c r="J9" s="22">
        <v>1628</v>
      </c>
      <c r="K9" s="22">
        <v>8272</v>
      </c>
      <c r="L9" s="22">
        <v>71348</v>
      </c>
      <c r="M9" s="20" t="s">
        <v>17</v>
      </c>
      <c r="N9" s="23">
        <f>SUM(Posts[[#This Row],[Likes]],Posts[[#This Row],[Shares]],Posts[[#This Row],[Comments]])/Posts[[#This Row],[Impressions]]</f>
        <v>0.35412345125301342</v>
      </c>
    </row>
    <row r="10" spans="1:14" x14ac:dyDescent="0.25">
      <c r="A10" s="20" t="s">
        <v>256</v>
      </c>
      <c r="B10" s="20" t="s">
        <v>33</v>
      </c>
      <c r="C10" s="21">
        <v>45909</v>
      </c>
      <c r="D10" s="20" t="s">
        <v>13</v>
      </c>
      <c r="E10" s="20" t="s">
        <v>352</v>
      </c>
      <c r="F10" s="20" t="s">
        <v>353</v>
      </c>
      <c r="G10" s="22">
        <v>19260</v>
      </c>
      <c r="H10" s="22">
        <v>668</v>
      </c>
      <c r="I10" s="22">
        <v>994</v>
      </c>
      <c r="J10" s="22">
        <v>934</v>
      </c>
      <c r="K10" s="22">
        <v>20509</v>
      </c>
      <c r="L10" s="22">
        <v>61636</v>
      </c>
      <c r="M10" s="20" t="s">
        <v>17</v>
      </c>
      <c r="N10" s="23">
        <f>SUM(Posts[[#This Row],[Likes]],Posts[[#This Row],[Shares]],Posts[[#This Row],[Comments]])/Posts[[#This Row],[Impressions]]</f>
        <v>0.33944448049841003</v>
      </c>
    </row>
    <row r="11" spans="1:14" x14ac:dyDescent="0.25">
      <c r="A11" s="20" t="s">
        <v>210</v>
      </c>
      <c r="B11" s="20" t="s">
        <v>19</v>
      </c>
      <c r="C11" s="21">
        <v>45668</v>
      </c>
      <c r="D11" s="20" t="s">
        <v>13</v>
      </c>
      <c r="E11" s="20" t="s">
        <v>346</v>
      </c>
      <c r="F11" s="20" t="s">
        <v>347</v>
      </c>
      <c r="G11" s="22">
        <v>21181</v>
      </c>
      <c r="H11" s="22">
        <v>1242</v>
      </c>
      <c r="I11" s="22">
        <v>963</v>
      </c>
      <c r="J11" s="22">
        <v>1689</v>
      </c>
      <c r="K11" s="22">
        <v>49329</v>
      </c>
      <c r="L11" s="22">
        <v>69165</v>
      </c>
      <c r="M11" s="20" t="s">
        <v>14</v>
      </c>
      <c r="N11" s="23">
        <f>SUM(Posts[[#This Row],[Likes]],Posts[[#This Row],[Shares]],Posts[[#This Row],[Comments]])/Posts[[#This Row],[Impressions]]</f>
        <v>0.33811899081905589</v>
      </c>
    </row>
    <row r="12" spans="1:14" x14ac:dyDescent="0.25">
      <c r="A12" s="3" t="s">
        <v>131</v>
      </c>
      <c r="B12" s="3" t="s">
        <v>33</v>
      </c>
      <c r="C12" s="6">
        <v>45692</v>
      </c>
      <c r="D12" s="3" t="s">
        <v>29</v>
      </c>
      <c r="E12" s="3" t="s">
        <v>354</v>
      </c>
      <c r="F12" s="3" t="s">
        <v>355</v>
      </c>
      <c r="G12" s="14">
        <v>23833</v>
      </c>
      <c r="H12" s="14">
        <v>555</v>
      </c>
      <c r="I12" s="14">
        <v>523</v>
      </c>
      <c r="J12" s="14">
        <v>1330</v>
      </c>
      <c r="K12" s="14">
        <v>69141</v>
      </c>
      <c r="L12" s="14">
        <v>73997</v>
      </c>
      <c r="M12" s="3" t="s">
        <v>24</v>
      </c>
      <c r="N12" s="10">
        <f>SUM(Posts[[#This Row],[Likes]],Posts[[#This Row],[Shares]],Posts[[#This Row],[Comments]])/Posts[[#This Row],[Impressions]]</f>
        <v>0.33664878305877266</v>
      </c>
    </row>
    <row r="13" spans="1:14" x14ac:dyDescent="0.25">
      <c r="A13" s="3" t="s">
        <v>199</v>
      </c>
      <c r="B13" s="3" t="s">
        <v>16</v>
      </c>
      <c r="C13" s="6">
        <v>45465</v>
      </c>
      <c r="D13" s="3" t="s">
        <v>29</v>
      </c>
      <c r="E13" s="3" t="s">
        <v>344</v>
      </c>
      <c r="F13" s="3" t="s">
        <v>345</v>
      </c>
      <c r="G13" s="14">
        <v>13479</v>
      </c>
      <c r="H13" s="14">
        <v>1189</v>
      </c>
      <c r="I13" s="14">
        <v>695</v>
      </c>
      <c r="J13" s="14">
        <v>416</v>
      </c>
      <c r="K13" s="14">
        <v>30229</v>
      </c>
      <c r="L13" s="14">
        <v>45704</v>
      </c>
      <c r="M13" s="3" t="s">
        <v>14</v>
      </c>
      <c r="N13" s="10">
        <f>SUM(Posts[[#This Row],[Likes]],Posts[[#This Row],[Shares]],Posts[[#This Row],[Comments]])/Posts[[#This Row],[Impressions]]</f>
        <v>0.33614125678277612</v>
      </c>
    </row>
    <row r="14" spans="1:14" x14ac:dyDescent="0.25">
      <c r="A14" s="3" t="s">
        <v>279</v>
      </c>
      <c r="B14" s="3" t="s">
        <v>19</v>
      </c>
      <c r="C14" s="6">
        <v>45671</v>
      </c>
      <c r="D14" s="3" t="s">
        <v>29</v>
      </c>
      <c r="E14" s="3" t="s">
        <v>350</v>
      </c>
      <c r="F14" s="3" t="s">
        <v>358</v>
      </c>
      <c r="G14" s="14">
        <v>24350</v>
      </c>
      <c r="H14" s="14">
        <v>460</v>
      </c>
      <c r="I14" s="14">
        <v>666</v>
      </c>
      <c r="J14" s="14">
        <v>814</v>
      </c>
      <c r="K14" s="14">
        <v>21120</v>
      </c>
      <c r="L14" s="14">
        <v>76914</v>
      </c>
      <c r="M14" s="3" t="s">
        <v>14</v>
      </c>
      <c r="N14" s="10">
        <f>SUM(Posts[[#This Row],[Likes]],Posts[[#This Row],[Shares]],Posts[[#This Row],[Comments]])/Posts[[#This Row],[Impressions]]</f>
        <v>0.33122708479600593</v>
      </c>
    </row>
    <row r="15" spans="1:14" x14ac:dyDescent="0.25">
      <c r="A15" s="3" t="s">
        <v>248</v>
      </c>
      <c r="B15" s="3" t="s">
        <v>33</v>
      </c>
      <c r="C15" s="6">
        <v>45608</v>
      </c>
      <c r="D15" s="3" t="s">
        <v>23</v>
      </c>
      <c r="E15" s="3" t="s">
        <v>348</v>
      </c>
      <c r="F15" s="3" t="s">
        <v>349</v>
      </c>
      <c r="G15" s="14">
        <v>17913</v>
      </c>
      <c r="H15" s="14">
        <v>1311</v>
      </c>
      <c r="I15" s="14">
        <v>859</v>
      </c>
      <c r="J15" s="14">
        <v>405</v>
      </c>
      <c r="K15" s="14">
        <v>59842</v>
      </c>
      <c r="L15" s="14">
        <v>62612</v>
      </c>
      <c r="M15" s="3" t="s">
        <v>21</v>
      </c>
      <c r="N15" s="10">
        <f>SUM(Posts[[#This Row],[Likes]],Posts[[#This Row],[Shares]],Posts[[#This Row],[Comments]])/Posts[[#This Row],[Impressions]]</f>
        <v>0.32075321024723696</v>
      </c>
    </row>
    <row r="16" spans="1:14" x14ac:dyDescent="0.25">
      <c r="A16" s="3" t="s">
        <v>189</v>
      </c>
      <c r="B16" s="3" t="s">
        <v>16</v>
      </c>
      <c r="C16" s="6">
        <v>45715</v>
      </c>
      <c r="D16" s="3" t="s">
        <v>13</v>
      </c>
      <c r="E16" s="3" t="s">
        <v>346</v>
      </c>
      <c r="F16" s="3" t="s">
        <v>347</v>
      </c>
      <c r="G16" s="14">
        <v>16178</v>
      </c>
      <c r="H16" s="14">
        <v>1048</v>
      </c>
      <c r="I16" s="14">
        <v>871</v>
      </c>
      <c r="J16" s="14">
        <v>2553</v>
      </c>
      <c r="K16" s="14">
        <v>39025</v>
      </c>
      <c r="L16" s="14">
        <v>59508</v>
      </c>
      <c r="M16" s="3" t="s">
        <v>14</v>
      </c>
      <c r="N16" s="10">
        <f>SUM(Posts[[#This Row],[Likes]],Posts[[#This Row],[Shares]],Posts[[#This Row],[Comments]])/Posts[[#This Row],[Impressions]]</f>
        <v>0.30411037171472743</v>
      </c>
    </row>
    <row r="17" spans="1:14" x14ac:dyDescent="0.25">
      <c r="A17" s="3" t="s">
        <v>176</v>
      </c>
      <c r="B17" s="3" t="s">
        <v>12</v>
      </c>
      <c r="C17" s="6">
        <v>45499</v>
      </c>
      <c r="D17" s="3" t="s">
        <v>23</v>
      </c>
      <c r="E17" s="3" t="s">
        <v>54</v>
      </c>
      <c r="F17" s="3"/>
      <c r="G17" s="14">
        <v>18282</v>
      </c>
      <c r="H17" s="14">
        <v>224</v>
      </c>
      <c r="I17" s="14">
        <v>962</v>
      </c>
      <c r="J17" s="14">
        <v>890</v>
      </c>
      <c r="K17" s="14">
        <v>35105</v>
      </c>
      <c r="L17" s="14">
        <v>64089</v>
      </c>
      <c r="M17" s="3" t="s">
        <v>24</v>
      </c>
      <c r="N17" s="10">
        <f>SUM(Posts[[#This Row],[Likes]],Posts[[#This Row],[Shares]],Posts[[#This Row],[Comments]])/Posts[[#This Row],[Impressions]]</f>
        <v>0.30376507669022768</v>
      </c>
    </row>
    <row r="18" spans="1:14" x14ac:dyDescent="0.25">
      <c r="A18" s="3" t="s">
        <v>165</v>
      </c>
      <c r="B18" s="3" t="s">
        <v>19</v>
      </c>
      <c r="C18" s="6">
        <v>45488</v>
      </c>
      <c r="D18" s="3" t="s">
        <v>20</v>
      </c>
      <c r="E18" s="3" t="s">
        <v>352</v>
      </c>
      <c r="F18" s="3" t="s">
        <v>353</v>
      </c>
      <c r="G18" s="14">
        <v>14891</v>
      </c>
      <c r="H18" s="14">
        <v>674</v>
      </c>
      <c r="I18" s="14">
        <v>521</v>
      </c>
      <c r="J18" s="14">
        <v>1091</v>
      </c>
      <c r="K18" s="14">
        <v>18101</v>
      </c>
      <c r="L18" s="14">
        <v>53669</v>
      </c>
      <c r="M18" s="3" t="s">
        <v>14</v>
      </c>
      <c r="N18" s="10">
        <f>SUM(Posts[[#This Row],[Likes]],Posts[[#This Row],[Shares]],Posts[[#This Row],[Comments]])/Posts[[#This Row],[Impressions]]</f>
        <v>0.29972609886526674</v>
      </c>
    </row>
    <row r="19" spans="1:14" x14ac:dyDescent="0.25">
      <c r="A19" s="3" t="s">
        <v>108</v>
      </c>
      <c r="B19" s="3" t="s">
        <v>19</v>
      </c>
      <c r="C19" s="6">
        <v>45580</v>
      </c>
      <c r="D19" s="3" t="s">
        <v>29</v>
      </c>
      <c r="E19" s="3" t="s">
        <v>27</v>
      </c>
      <c r="F19" s="3"/>
      <c r="G19" s="14">
        <v>17781</v>
      </c>
      <c r="H19" s="14">
        <v>993</v>
      </c>
      <c r="I19" s="14">
        <v>627</v>
      </c>
      <c r="J19" s="14">
        <v>2187</v>
      </c>
      <c r="K19" s="14">
        <v>9609</v>
      </c>
      <c r="L19" s="14">
        <v>66155</v>
      </c>
      <c r="M19" s="3" t="s">
        <v>24</v>
      </c>
      <c r="N19" s="10">
        <f>SUM(Posts[[#This Row],[Likes]],Posts[[#This Row],[Shares]],Posts[[#This Row],[Comments]])/Posts[[#This Row],[Impressions]]</f>
        <v>0.29326581513113142</v>
      </c>
    </row>
    <row r="20" spans="1:14" x14ac:dyDescent="0.25">
      <c r="A20" s="3" t="s">
        <v>221</v>
      </c>
      <c r="B20" s="3" t="s">
        <v>33</v>
      </c>
      <c r="C20" s="6">
        <v>45918</v>
      </c>
      <c r="D20" s="3" t="s">
        <v>20</v>
      </c>
      <c r="E20" s="3" t="s">
        <v>54</v>
      </c>
      <c r="F20" s="3"/>
      <c r="G20" s="14">
        <v>10152</v>
      </c>
      <c r="H20" s="14">
        <v>1445</v>
      </c>
      <c r="I20" s="14">
        <v>526</v>
      </c>
      <c r="J20" s="14">
        <v>513</v>
      </c>
      <c r="K20" s="14">
        <v>18959</v>
      </c>
      <c r="L20" s="14">
        <v>43712</v>
      </c>
      <c r="M20" s="3" t="s">
        <v>17</v>
      </c>
      <c r="N20" s="10">
        <f>SUM(Posts[[#This Row],[Likes]],Posts[[#This Row],[Shares]],Posts[[#This Row],[Comments]])/Posts[[#This Row],[Impressions]]</f>
        <v>0.27733803074670571</v>
      </c>
    </row>
    <row r="21" spans="1:14" x14ac:dyDescent="0.25">
      <c r="A21" s="3" t="s">
        <v>161</v>
      </c>
      <c r="B21" s="3" t="s">
        <v>19</v>
      </c>
      <c r="C21" s="6">
        <v>45932</v>
      </c>
      <c r="D21" s="3" t="s">
        <v>29</v>
      </c>
      <c r="E21" s="3" t="s">
        <v>348</v>
      </c>
      <c r="F21" s="3" t="s">
        <v>349</v>
      </c>
      <c r="G21" s="14">
        <v>12161</v>
      </c>
      <c r="H21" s="14">
        <v>736</v>
      </c>
      <c r="I21" s="14">
        <v>876</v>
      </c>
      <c r="J21" s="14">
        <v>1233</v>
      </c>
      <c r="K21" s="14">
        <v>21337</v>
      </c>
      <c r="L21" s="14">
        <v>50225</v>
      </c>
      <c r="M21" s="3" t="s">
        <v>17</v>
      </c>
      <c r="N21" s="10">
        <f>SUM(Posts[[#This Row],[Likes]],Posts[[#This Row],[Shares]],Posts[[#This Row],[Comments]])/Posts[[#This Row],[Impressions]]</f>
        <v>0.27422598307615731</v>
      </c>
    </row>
    <row r="22" spans="1:14" x14ac:dyDescent="0.25">
      <c r="A22" s="3" t="s">
        <v>25</v>
      </c>
      <c r="B22" s="3" t="s">
        <v>12</v>
      </c>
      <c r="C22" s="6">
        <v>45904</v>
      </c>
      <c r="D22" s="3" t="s">
        <v>23</v>
      </c>
      <c r="E22" s="3" t="s">
        <v>344</v>
      </c>
      <c r="F22" s="3" t="s">
        <v>345</v>
      </c>
      <c r="G22" s="14">
        <v>21708</v>
      </c>
      <c r="H22" s="14">
        <v>435</v>
      </c>
      <c r="I22" s="14">
        <v>317</v>
      </c>
      <c r="J22" s="14">
        <v>1213</v>
      </c>
      <c r="K22" s="14">
        <v>70701</v>
      </c>
      <c r="L22" s="14">
        <v>83585</v>
      </c>
      <c r="M22" s="3" t="s">
        <v>17</v>
      </c>
      <c r="N22" s="10">
        <f>SUM(Posts[[#This Row],[Likes]],Posts[[#This Row],[Shares]],Posts[[#This Row],[Comments]])/Posts[[#This Row],[Impressions]]</f>
        <v>0.26870850032900639</v>
      </c>
    </row>
    <row r="23" spans="1:14" x14ac:dyDescent="0.25">
      <c r="A23" s="3" t="s">
        <v>105</v>
      </c>
      <c r="B23" s="3" t="s">
        <v>16</v>
      </c>
      <c r="C23" s="6">
        <v>45456</v>
      </c>
      <c r="D23" s="3" t="s">
        <v>13</v>
      </c>
      <c r="E23" s="3" t="s">
        <v>344</v>
      </c>
      <c r="F23" s="3" t="s">
        <v>345</v>
      </c>
      <c r="G23" s="14">
        <v>14173</v>
      </c>
      <c r="H23" s="14">
        <v>294</v>
      </c>
      <c r="I23" s="14">
        <v>257</v>
      </c>
      <c r="J23" s="14">
        <v>1288</v>
      </c>
      <c r="K23" s="14">
        <v>39466</v>
      </c>
      <c r="L23" s="14">
        <v>55563</v>
      </c>
      <c r="M23" s="3" t="s">
        <v>37</v>
      </c>
      <c r="N23" s="10">
        <f>SUM(Posts[[#This Row],[Likes]],Posts[[#This Row],[Shares]],Posts[[#This Row],[Comments]])/Posts[[#This Row],[Impressions]]</f>
        <v>0.26499649047027696</v>
      </c>
    </row>
    <row r="24" spans="1:14" x14ac:dyDescent="0.25">
      <c r="A24" s="3" t="s">
        <v>175</v>
      </c>
      <c r="B24" s="3" t="s">
        <v>16</v>
      </c>
      <c r="C24" s="6">
        <v>45526</v>
      </c>
      <c r="D24" s="3" t="s">
        <v>23</v>
      </c>
      <c r="E24" s="3" t="s">
        <v>359</v>
      </c>
      <c r="F24" s="3" t="s">
        <v>27</v>
      </c>
      <c r="G24" s="14">
        <v>16124</v>
      </c>
      <c r="H24" s="14">
        <v>863</v>
      </c>
      <c r="I24" s="14">
        <v>337</v>
      </c>
      <c r="J24" s="14">
        <v>819</v>
      </c>
      <c r="K24" s="14">
        <v>85788</v>
      </c>
      <c r="L24" s="14">
        <v>68625</v>
      </c>
      <c r="M24" s="3" t="s">
        <v>24</v>
      </c>
      <c r="N24" s="10">
        <f>SUM(Posts[[#This Row],[Likes]],Posts[[#This Row],[Shares]],Posts[[#This Row],[Comments]])/Posts[[#This Row],[Impressions]]</f>
        <v>0.25244444444444447</v>
      </c>
    </row>
    <row r="25" spans="1:14" x14ac:dyDescent="0.25">
      <c r="A25" s="3" t="s">
        <v>245</v>
      </c>
      <c r="B25" s="3" t="s">
        <v>12</v>
      </c>
      <c r="C25" s="6">
        <v>45445</v>
      </c>
      <c r="D25" s="3" t="s">
        <v>23</v>
      </c>
      <c r="E25" s="3" t="s">
        <v>346</v>
      </c>
      <c r="F25" s="3" t="s">
        <v>347</v>
      </c>
      <c r="G25" s="14">
        <v>14199</v>
      </c>
      <c r="H25" s="14">
        <v>1206</v>
      </c>
      <c r="I25" s="14">
        <v>954</v>
      </c>
      <c r="J25" s="14">
        <v>2009</v>
      </c>
      <c r="K25" s="14">
        <v>8</v>
      </c>
      <c r="L25" s="14">
        <v>65537</v>
      </c>
      <c r="M25" s="3" t="s">
        <v>21</v>
      </c>
      <c r="N25" s="10">
        <f>SUM(Posts[[#This Row],[Likes]],Posts[[#This Row],[Shares]],Posts[[#This Row],[Comments]])/Posts[[#This Row],[Impressions]]</f>
        <v>0.24961472145505592</v>
      </c>
    </row>
    <row r="26" spans="1:14" x14ac:dyDescent="0.25">
      <c r="A26" s="3" t="s">
        <v>45</v>
      </c>
      <c r="B26" s="3" t="s">
        <v>33</v>
      </c>
      <c r="C26" s="6">
        <v>45908</v>
      </c>
      <c r="D26" s="3" t="s">
        <v>29</v>
      </c>
      <c r="E26" s="3" t="s">
        <v>359</v>
      </c>
      <c r="F26" s="3" t="s">
        <v>27</v>
      </c>
      <c r="G26" s="14">
        <v>22309</v>
      </c>
      <c r="H26" s="14">
        <v>773</v>
      </c>
      <c r="I26" s="14">
        <v>854</v>
      </c>
      <c r="J26" s="14">
        <v>2387</v>
      </c>
      <c r="K26" s="14">
        <v>72396</v>
      </c>
      <c r="L26" s="14">
        <v>97056</v>
      </c>
      <c r="M26" s="3" t="s">
        <v>17</v>
      </c>
      <c r="N26" s="10">
        <f>SUM(Posts[[#This Row],[Likes]],Posts[[#This Row],[Shares]],Posts[[#This Row],[Comments]])/Posts[[#This Row],[Impressions]]</f>
        <v>0.24662050774810418</v>
      </c>
    </row>
    <row r="27" spans="1:14" x14ac:dyDescent="0.25">
      <c r="A27" s="3" t="s">
        <v>269</v>
      </c>
      <c r="B27" s="3" t="s">
        <v>19</v>
      </c>
      <c r="C27" s="6">
        <v>45913</v>
      </c>
      <c r="D27" s="3" t="s">
        <v>23</v>
      </c>
      <c r="E27" s="3" t="s">
        <v>359</v>
      </c>
      <c r="F27" s="3" t="s">
        <v>27</v>
      </c>
      <c r="G27" s="14">
        <v>15046</v>
      </c>
      <c r="H27" s="14">
        <v>281</v>
      </c>
      <c r="I27" s="14">
        <v>515</v>
      </c>
      <c r="J27" s="14">
        <v>550</v>
      </c>
      <c r="K27" s="14">
        <v>22583</v>
      </c>
      <c r="L27" s="14">
        <v>64596</v>
      </c>
      <c r="M27" s="3" t="s">
        <v>17</v>
      </c>
      <c r="N27" s="10">
        <f>SUM(Posts[[#This Row],[Likes]],Posts[[#This Row],[Shares]],Posts[[#This Row],[Comments]])/Posts[[#This Row],[Impressions]]</f>
        <v>0.24524738373893121</v>
      </c>
    </row>
    <row r="28" spans="1:14" x14ac:dyDescent="0.25">
      <c r="A28" s="3" t="s">
        <v>101</v>
      </c>
      <c r="B28" s="3" t="s">
        <v>33</v>
      </c>
      <c r="C28" s="6">
        <v>45603</v>
      </c>
      <c r="D28" s="3" t="s">
        <v>29</v>
      </c>
      <c r="E28" s="3" t="s">
        <v>27</v>
      </c>
      <c r="F28" s="3"/>
      <c r="G28" s="14">
        <v>17254</v>
      </c>
      <c r="H28" s="14">
        <v>246</v>
      </c>
      <c r="I28" s="14">
        <v>952</v>
      </c>
      <c r="J28" s="14">
        <v>871</v>
      </c>
      <c r="K28" s="14">
        <v>14957</v>
      </c>
      <c r="L28" s="14">
        <v>75946</v>
      </c>
      <c r="M28" s="3" t="s">
        <v>37</v>
      </c>
      <c r="N28" s="10">
        <f>SUM(Posts[[#This Row],[Likes]],Posts[[#This Row],[Shares]],Posts[[#This Row],[Comments]])/Posts[[#This Row],[Impressions]]</f>
        <v>0.24296210465330631</v>
      </c>
    </row>
    <row r="29" spans="1:14" x14ac:dyDescent="0.25">
      <c r="A29" s="3" t="s">
        <v>241</v>
      </c>
      <c r="B29" s="3" t="s">
        <v>19</v>
      </c>
      <c r="C29" s="6">
        <v>45502</v>
      </c>
      <c r="D29" s="3" t="s">
        <v>20</v>
      </c>
      <c r="E29" s="3" t="s">
        <v>344</v>
      </c>
      <c r="F29" s="3" t="s">
        <v>345</v>
      </c>
      <c r="G29" s="14">
        <v>22590</v>
      </c>
      <c r="H29" s="14">
        <v>1462</v>
      </c>
      <c r="I29" s="14">
        <v>966</v>
      </c>
      <c r="J29" s="14">
        <v>2463</v>
      </c>
      <c r="K29" s="14">
        <v>29689</v>
      </c>
      <c r="L29" s="14">
        <v>103449</v>
      </c>
      <c r="M29" s="3" t="s">
        <v>21</v>
      </c>
      <c r="N29" s="10">
        <f>SUM(Posts[[#This Row],[Likes]],Posts[[#This Row],[Shares]],Posts[[#This Row],[Comments]])/Posts[[#This Row],[Impressions]]</f>
        <v>0.24183897379385011</v>
      </c>
    </row>
    <row r="30" spans="1:14" x14ac:dyDescent="0.25">
      <c r="A30" s="3" t="s">
        <v>76</v>
      </c>
      <c r="B30" s="3" t="s">
        <v>12</v>
      </c>
      <c r="C30" s="6">
        <v>45456</v>
      </c>
      <c r="D30" s="3" t="s">
        <v>29</v>
      </c>
      <c r="E30" s="3" t="s">
        <v>354</v>
      </c>
      <c r="F30" s="3" t="s">
        <v>355</v>
      </c>
      <c r="G30" s="14">
        <v>23164</v>
      </c>
      <c r="H30" s="14">
        <v>1122</v>
      </c>
      <c r="I30" s="14">
        <v>900</v>
      </c>
      <c r="J30" s="14">
        <v>888</v>
      </c>
      <c r="K30" s="14">
        <v>36938</v>
      </c>
      <c r="L30" s="14">
        <v>104674</v>
      </c>
      <c r="M30" s="3" t="s">
        <v>14</v>
      </c>
      <c r="N30" s="10">
        <f>SUM(Posts[[#This Row],[Likes]],Posts[[#This Row],[Shares]],Posts[[#This Row],[Comments]])/Posts[[#This Row],[Impressions]]</f>
        <v>0.24061371496264594</v>
      </c>
    </row>
    <row r="31" spans="1:14" x14ac:dyDescent="0.25">
      <c r="A31" s="3" t="s">
        <v>26</v>
      </c>
      <c r="B31" s="3" t="s">
        <v>16</v>
      </c>
      <c r="C31" s="6">
        <v>45905</v>
      </c>
      <c r="D31" s="3" t="s">
        <v>13</v>
      </c>
      <c r="E31" s="3" t="s">
        <v>27</v>
      </c>
      <c r="F31" s="3"/>
      <c r="G31" s="14">
        <v>14677</v>
      </c>
      <c r="H31" s="14">
        <v>533</v>
      </c>
      <c r="I31" s="14">
        <v>759</v>
      </c>
      <c r="J31" s="14">
        <v>753</v>
      </c>
      <c r="K31" s="14">
        <v>23275</v>
      </c>
      <c r="L31" s="14">
        <v>66958</v>
      </c>
      <c r="M31" s="3" t="s">
        <v>17</v>
      </c>
      <c r="N31" s="10">
        <f>SUM(Posts[[#This Row],[Likes]],Posts[[#This Row],[Shares]],Posts[[#This Row],[Comments]])/Posts[[#This Row],[Impressions]]</f>
        <v>0.23849278652289496</v>
      </c>
    </row>
    <row r="32" spans="1:14" x14ac:dyDescent="0.25">
      <c r="A32" s="3" t="s">
        <v>314</v>
      </c>
      <c r="B32" s="3" t="s">
        <v>19</v>
      </c>
      <c r="C32" s="6">
        <v>45624</v>
      </c>
      <c r="D32" s="3" t="s">
        <v>29</v>
      </c>
      <c r="E32" s="3" t="s">
        <v>352</v>
      </c>
      <c r="F32" s="3" t="s">
        <v>353</v>
      </c>
      <c r="G32" s="14">
        <v>18644</v>
      </c>
      <c r="H32" s="14">
        <v>1369</v>
      </c>
      <c r="I32" s="14">
        <v>887</v>
      </c>
      <c r="J32" s="14">
        <v>1256</v>
      </c>
      <c r="K32" s="14">
        <v>43415</v>
      </c>
      <c r="L32" s="14">
        <v>88368</v>
      </c>
      <c r="M32" s="3" t="s">
        <v>21</v>
      </c>
      <c r="N32" s="10">
        <f>SUM(Posts[[#This Row],[Likes]],Posts[[#This Row],[Shares]],Posts[[#This Row],[Comments]])/Posts[[#This Row],[Impressions]]</f>
        <v>0.23651095419156257</v>
      </c>
    </row>
    <row r="33" spans="1:14" x14ac:dyDescent="0.25">
      <c r="A33" s="3" t="s">
        <v>211</v>
      </c>
      <c r="B33" s="3" t="s">
        <v>19</v>
      </c>
      <c r="C33" s="6">
        <v>45528</v>
      </c>
      <c r="D33" s="3" t="s">
        <v>23</v>
      </c>
      <c r="E33" s="3" t="s">
        <v>348</v>
      </c>
      <c r="F33" s="3" t="s">
        <v>349</v>
      </c>
      <c r="G33" s="14">
        <v>24890</v>
      </c>
      <c r="H33" s="14">
        <v>217</v>
      </c>
      <c r="I33" s="14">
        <v>178</v>
      </c>
      <c r="J33" s="14">
        <v>906</v>
      </c>
      <c r="K33" s="14">
        <v>54826</v>
      </c>
      <c r="L33" s="14">
        <v>107203</v>
      </c>
      <c r="M33" s="3" t="s">
        <v>21</v>
      </c>
      <c r="N33" s="10">
        <f>SUM(Posts[[#This Row],[Likes]],Posts[[#This Row],[Shares]],Posts[[#This Row],[Comments]])/Posts[[#This Row],[Impressions]]</f>
        <v>0.23586093672751696</v>
      </c>
    </row>
    <row r="34" spans="1:14" x14ac:dyDescent="0.25">
      <c r="A34" s="3" t="s">
        <v>86</v>
      </c>
      <c r="B34" s="3" t="s">
        <v>12</v>
      </c>
      <c r="C34" s="6">
        <v>45540</v>
      </c>
      <c r="D34" s="3" t="s">
        <v>29</v>
      </c>
      <c r="E34" s="3" t="s">
        <v>54</v>
      </c>
      <c r="F34" s="3"/>
      <c r="G34" s="14">
        <v>16489</v>
      </c>
      <c r="H34" s="14">
        <v>395</v>
      </c>
      <c r="I34" s="14">
        <v>350</v>
      </c>
      <c r="J34" s="14">
        <v>2364</v>
      </c>
      <c r="K34" s="14">
        <v>43239</v>
      </c>
      <c r="L34" s="14">
        <v>73397</v>
      </c>
      <c r="M34" s="3" t="s">
        <v>37</v>
      </c>
      <c r="N34" s="10">
        <f>SUM(Posts[[#This Row],[Likes]],Posts[[#This Row],[Shares]],Posts[[#This Row],[Comments]])/Posts[[#This Row],[Impressions]]</f>
        <v>0.23480523727127811</v>
      </c>
    </row>
    <row r="35" spans="1:14" x14ac:dyDescent="0.25">
      <c r="A35" s="3" t="s">
        <v>311</v>
      </c>
      <c r="B35" s="3" t="s">
        <v>12</v>
      </c>
      <c r="C35" s="6">
        <v>45919</v>
      </c>
      <c r="D35" s="3" t="s">
        <v>20</v>
      </c>
      <c r="E35" s="3" t="s">
        <v>354</v>
      </c>
      <c r="F35" s="3" t="s">
        <v>355</v>
      </c>
      <c r="G35" s="14">
        <v>22128</v>
      </c>
      <c r="H35" s="14">
        <v>1004</v>
      </c>
      <c r="I35" s="14">
        <v>690</v>
      </c>
      <c r="J35" s="14">
        <v>2048</v>
      </c>
      <c r="K35" s="14">
        <v>19443</v>
      </c>
      <c r="L35" s="14">
        <v>103646</v>
      </c>
      <c r="M35" s="3" t="s">
        <v>17</v>
      </c>
      <c r="N35" s="10">
        <f>SUM(Posts[[#This Row],[Likes]],Posts[[#This Row],[Shares]],Posts[[#This Row],[Comments]])/Posts[[#This Row],[Impressions]]</f>
        <v>0.22984003241803833</v>
      </c>
    </row>
    <row r="36" spans="1:14" x14ac:dyDescent="0.25">
      <c r="A36" s="3" t="s">
        <v>130</v>
      </c>
      <c r="B36" s="3" t="s">
        <v>33</v>
      </c>
      <c r="C36" s="6">
        <v>45457</v>
      </c>
      <c r="D36" s="3" t="s">
        <v>29</v>
      </c>
      <c r="E36" s="3" t="s">
        <v>356</v>
      </c>
      <c r="F36" s="3" t="s">
        <v>357</v>
      </c>
      <c r="G36" s="14">
        <v>21856</v>
      </c>
      <c r="H36" s="14">
        <v>1203</v>
      </c>
      <c r="I36" s="14">
        <v>634</v>
      </c>
      <c r="J36" s="14">
        <v>2807</v>
      </c>
      <c r="K36" s="14">
        <v>3647</v>
      </c>
      <c r="L36" s="14">
        <v>104178</v>
      </c>
      <c r="M36" s="3" t="s">
        <v>24</v>
      </c>
      <c r="N36" s="10">
        <f>SUM(Posts[[#This Row],[Likes]],Posts[[#This Row],[Shares]],Posts[[#This Row],[Comments]])/Posts[[#This Row],[Impressions]]</f>
        <v>0.22742805582752595</v>
      </c>
    </row>
    <row r="37" spans="1:14" x14ac:dyDescent="0.25">
      <c r="A37" s="3" t="s">
        <v>144</v>
      </c>
      <c r="B37" s="3" t="s">
        <v>16</v>
      </c>
      <c r="C37" s="6">
        <v>45695</v>
      </c>
      <c r="D37" s="3" t="s">
        <v>29</v>
      </c>
      <c r="E37" s="3" t="s">
        <v>360</v>
      </c>
      <c r="F37" s="3" t="s">
        <v>361</v>
      </c>
      <c r="G37" s="14">
        <v>20290</v>
      </c>
      <c r="H37" s="14">
        <v>619</v>
      </c>
      <c r="I37" s="14">
        <v>927</v>
      </c>
      <c r="J37" s="14">
        <v>1186</v>
      </c>
      <c r="K37" s="14">
        <v>8924</v>
      </c>
      <c r="L37" s="14">
        <v>96503</v>
      </c>
      <c r="M37" s="3" t="s">
        <v>37</v>
      </c>
      <c r="N37" s="10">
        <f>SUM(Posts[[#This Row],[Likes]],Posts[[#This Row],[Shares]],Posts[[#This Row],[Comments]])/Posts[[#This Row],[Impressions]]</f>
        <v>0.22627275835984373</v>
      </c>
    </row>
    <row r="38" spans="1:14" x14ac:dyDescent="0.25">
      <c r="A38" s="3" t="s">
        <v>195</v>
      </c>
      <c r="B38" s="3" t="s">
        <v>33</v>
      </c>
      <c r="C38" s="6">
        <v>45775</v>
      </c>
      <c r="D38" s="3" t="s">
        <v>29</v>
      </c>
      <c r="E38" s="3" t="s">
        <v>359</v>
      </c>
      <c r="F38" s="3" t="s">
        <v>27</v>
      </c>
      <c r="G38" s="14">
        <v>15013</v>
      </c>
      <c r="H38" s="14">
        <v>1286</v>
      </c>
      <c r="I38" s="14">
        <v>599</v>
      </c>
      <c r="J38" s="14">
        <v>2001</v>
      </c>
      <c r="K38" s="14">
        <v>67839</v>
      </c>
      <c r="L38" s="14">
        <v>76059</v>
      </c>
      <c r="M38" s="3" t="s">
        <v>14</v>
      </c>
      <c r="N38" s="10">
        <f>SUM(Posts[[#This Row],[Likes]],Posts[[#This Row],[Shares]],Posts[[#This Row],[Comments]])/Posts[[#This Row],[Impressions]]</f>
        <v>0.22216963147030594</v>
      </c>
    </row>
    <row r="39" spans="1:14" x14ac:dyDescent="0.25">
      <c r="A39" s="3" t="s">
        <v>71</v>
      </c>
      <c r="B39" s="3" t="s">
        <v>16</v>
      </c>
      <c r="C39" s="6">
        <v>45779</v>
      </c>
      <c r="D39" s="3" t="s">
        <v>20</v>
      </c>
      <c r="E39" s="3" t="s">
        <v>350</v>
      </c>
      <c r="F39" s="3" t="s">
        <v>358</v>
      </c>
      <c r="G39" s="14">
        <v>17444</v>
      </c>
      <c r="H39" s="14">
        <v>1402</v>
      </c>
      <c r="I39" s="14">
        <v>218</v>
      </c>
      <c r="J39" s="14">
        <v>725</v>
      </c>
      <c r="K39" s="14">
        <v>8710</v>
      </c>
      <c r="L39" s="14">
        <v>85893</v>
      </c>
      <c r="M39" s="3" t="s">
        <v>37</v>
      </c>
      <c r="N39" s="10">
        <f>SUM(Posts[[#This Row],[Likes]],Posts[[#This Row],[Shares]],Posts[[#This Row],[Comments]])/Posts[[#This Row],[Impressions]]</f>
        <v>0.22195056640238436</v>
      </c>
    </row>
    <row r="40" spans="1:14" x14ac:dyDescent="0.25">
      <c r="A40" s="3" t="s">
        <v>212</v>
      </c>
      <c r="B40" s="3" t="s">
        <v>33</v>
      </c>
      <c r="C40" s="6">
        <v>45648</v>
      </c>
      <c r="D40" s="3" t="s">
        <v>20</v>
      </c>
      <c r="E40" s="3" t="s">
        <v>360</v>
      </c>
      <c r="F40" s="3" t="s">
        <v>361</v>
      </c>
      <c r="G40" s="14">
        <v>7870</v>
      </c>
      <c r="H40" s="14">
        <v>968</v>
      </c>
      <c r="I40" s="14">
        <v>626</v>
      </c>
      <c r="J40" s="14">
        <v>465</v>
      </c>
      <c r="K40" s="14">
        <v>27184</v>
      </c>
      <c r="L40" s="14">
        <v>44114</v>
      </c>
      <c r="M40" s="3" t="s">
        <v>37</v>
      </c>
      <c r="N40" s="10">
        <f>SUM(Posts[[#This Row],[Likes]],Posts[[#This Row],[Shares]],Posts[[#This Row],[Comments]])/Posts[[#This Row],[Impressions]]</f>
        <v>0.2145350682323072</v>
      </c>
    </row>
    <row r="41" spans="1:14" x14ac:dyDescent="0.25">
      <c r="A41" s="3" t="s">
        <v>215</v>
      </c>
      <c r="B41" s="3" t="s">
        <v>33</v>
      </c>
      <c r="C41" s="6">
        <v>45569</v>
      </c>
      <c r="D41" s="3" t="s">
        <v>13</v>
      </c>
      <c r="E41" s="3" t="s">
        <v>352</v>
      </c>
      <c r="F41" s="3" t="s">
        <v>353</v>
      </c>
      <c r="G41" s="14">
        <v>21729</v>
      </c>
      <c r="H41" s="14">
        <v>1209</v>
      </c>
      <c r="I41" s="14">
        <v>897</v>
      </c>
      <c r="J41" s="14">
        <v>1624</v>
      </c>
      <c r="K41" s="14">
        <v>38771</v>
      </c>
      <c r="L41" s="14">
        <v>113297</v>
      </c>
      <c r="M41" s="3" t="s">
        <v>24</v>
      </c>
      <c r="N41" s="10">
        <f>SUM(Posts[[#This Row],[Likes]],Posts[[#This Row],[Shares]],Posts[[#This Row],[Comments]])/Posts[[#This Row],[Impressions]]</f>
        <v>0.21037626768581694</v>
      </c>
    </row>
    <row r="42" spans="1:14" x14ac:dyDescent="0.25">
      <c r="A42" s="3" t="s">
        <v>276</v>
      </c>
      <c r="B42" s="3" t="s">
        <v>33</v>
      </c>
      <c r="C42" s="6">
        <v>45915</v>
      </c>
      <c r="D42" s="3" t="s">
        <v>13</v>
      </c>
      <c r="E42" s="3" t="s">
        <v>352</v>
      </c>
      <c r="F42" s="3" t="s">
        <v>353</v>
      </c>
      <c r="G42" s="14">
        <v>18389</v>
      </c>
      <c r="H42" s="14">
        <v>670</v>
      </c>
      <c r="I42" s="14">
        <v>655</v>
      </c>
      <c r="J42" s="14">
        <v>321</v>
      </c>
      <c r="K42" s="14">
        <v>21869</v>
      </c>
      <c r="L42" s="14">
        <v>96088</v>
      </c>
      <c r="M42" s="3" t="s">
        <v>17</v>
      </c>
      <c r="N42" s="10">
        <f>SUM(Posts[[#This Row],[Likes]],Posts[[#This Row],[Shares]],Posts[[#This Row],[Comments]])/Posts[[#This Row],[Impressions]]</f>
        <v>0.2051660977437349</v>
      </c>
    </row>
    <row r="43" spans="1:14" x14ac:dyDescent="0.25">
      <c r="A43" s="3" t="s">
        <v>99</v>
      </c>
      <c r="B43" s="3" t="s">
        <v>33</v>
      </c>
      <c r="C43" s="6">
        <v>45593</v>
      </c>
      <c r="D43" s="3" t="s">
        <v>29</v>
      </c>
      <c r="E43" s="3" t="s">
        <v>350</v>
      </c>
      <c r="F43" s="3" t="s">
        <v>351</v>
      </c>
      <c r="G43" s="14">
        <v>21198</v>
      </c>
      <c r="H43" s="14">
        <v>1484</v>
      </c>
      <c r="I43" s="14">
        <v>174</v>
      </c>
      <c r="J43" s="14">
        <v>1293</v>
      </c>
      <c r="K43" s="14">
        <v>16330</v>
      </c>
      <c r="L43" s="14">
        <v>111635</v>
      </c>
      <c r="M43" s="3" t="s">
        <v>24</v>
      </c>
      <c r="N43" s="10">
        <f>SUM(Posts[[#This Row],[Likes]],Posts[[#This Row],[Shares]],Posts[[#This Row],[Comments]])/Posts[[#This Row],[Impressions]]</f>
        <v>0.20473865723115511</v>
      </c>
    </row>
    <row r="44" spans="1:14" x14ac:dyDescent="0.25">
      <c r="A44" s="3" t="s">
        <v>67</v>
      </c>
      <c r="B44" s="3" t="s">
        <v>12</v>
      </c>
      <c r="C44" s="6">
        <v>45721</v>
      </c>
      <c r="D44" s="3" t="s">
        <v>29</v>
      </c>
      <c r="E44" s="3" t="s">
        <v>350</v>
      </c>
      <c r="F44" s="3" t="s">
        <v>358</v>
      </c>
      <c r="G44" s="14">
        <v>12916</v>
      </c>
      <c r="H44" s="14">
        <v>1262</v>
      </c>
      <c r="I44" s="14">
        <v>772</v>
      </c>
      <c r="J44" s="14">
        <v>856</v>
      </c>
      <c r="K44" s="14">
        <v>11496</v>
      </c>
      <c r="L44" s="14">
        <v>75046</v>
      </c>
      <c r="M44" s="3" t="s">
        <v>21</v>
      </c>
      <c r="N44" s="10">
        <f>SUM(Posts[[#This Row],[Likes]],Posts[[#This Row],[Shares]],Posts[[#This Row],[Comments]])/Posts[[#This Row],[Impressions]]</f>
        <v>0.19921115049436347</v>
      </c>
    </row>
    <row r="45" spans="1:14" x14ac:dyDescent="0.25">
      <c r="A45" s="3" t="s">
        <v>271</v>
      </c>
      <c r="B45" s="3" t="s">
        <v>33</v>
      </c>
      <c r="C45" s="6">
        <v>45576</v>
      </c>
      <c r="D45" s="3" t="s">
        <v>29</v>
      </c>
      <c r="E45" s="3" t="s">
        <v>356</v>
      </c>
      <c r="F45" s="3" t="s">
        <v>357</v>
      </c>
      <c r="G45" s="14">
        <v>19447</v>
      </c>
      <c r="H45" s="14">
        <v>1014</v>
      </c>
      <c r="I45" s="14">
        <v>256</v>
      </c>
      <c r="J45" s="14">
        <v>2354</v>
      </c>
      <c r="K45" s="14">
        <v>5472</v>
      </c>
      <c r="L45" s="14">
        <v>104106</v>
      </c>
      <c r="M45" s="3" t="s">
        <v>14</v>
      </c>
      <c r="N45" s="10">
        <f>SUM(Posts[[#This Row],[Likes]],Posts[[#This Row],[Shares]],Posts[[#This Row],[Comments]])/Posts[[#This Row],[Impressions]]</f>
        <v>0.19899909707413599</v>
      </c>
    </row>
    <row r="46" spans="1:14" x14ac:dyDescent="0.25">
      <c r="A46" s="3" t="s">
        <v>285</v>
      </c>
      <c r="B46" s="3" t="s">
        <v>12</v>
      </c>
      <c r="C46" s="6">
        <v>45700</v>
      </c>
      <c r="D46" s="3" t="s">
        <v>23</v>
      </c>
      <c r="E46" s="3" t="s">
        <v>346</v>
      </c>
      <c r="F46" s="3" t="s">
        <v>347</v>
      </c>
      <c r="G46" s="14">
        <v>15234</v>
      </c>
      <c r="H46" s="14">
        <v>1276</v>
      </c>
      <c r="I46" s="14">
        <v>670</v>
      </c>
      <c r="J46" s="14">
        <v>1860</v>
      </c>
      <c r="K46" s="14">
        <v>60397</v>
      </c>
      <c r="L46" s="14">
        <v>86413</v>
      </c>
      <c r="M46" s="3" t="s">
        <v>37</v>
      </c>
      <c r="N46" s="10">
        <f>SUM(Posts[[#This Row],[Likes]],Posts[[#This Row],[Shares]],Posts[[#This Row],[Comments]])/Posts[[#This Row],[Impressions]]</f>
        <v>0.19881267864788862</v>
      </c>
    </row>
    <row r="47" spans="1:14" x14ac:dyDescent="0.25">
      <c r="A47" s="3" t="s">
        <v>118</v>
      </c>
      <c r="B47" s="3" t="s">
        <v>33</v>
      </c>
      <c r="C47" s="6">
        <v>45637</v>
      </c>
      <c r="D47" s="3" t="s">
        <v>29</v>
      </c>
      <c r="E47" s="3" t="s">
        <v>356</v>
      </c>
      <c r="F47" s="3" t="s">
        <v>357</v>
      </c>
      <c r="G47" s="14">
        <v>22645</v>
      </c>
      <c r="H47" s="14">
        <v>545</v>
      </c>
      <c r="I47" s="14">
        <v>972</v>
      </c>
      <c r="J47" s="14">
        <v>321</v>
      </c>
      <c r="K47" s="14">
        <v>8396</v>
      </c>
      <c r="L47" s="14">
        <v>121537</v>
      </c>
      <c r="M47" s="3" t="s">
        <v>37</v>
      </c>
      <c r="N47" s="10">
        <f>SUM(Posts[[#This Row],[Likes]],Posts[[#This Row],[Shares]],Posts[[#This Row],[Comments]])/Posts[[#This Row],[Impressions]]</f>
        <v>0.19880365649966678</v>
      </c>
    </row>
    <row r="48" spans="1:14" x14ac:dyDescent="0.25">
      <c r="A48" s="3" t="s">
        <v>188</v>
      </c>
      <c r="B48" s="3" t="s">
        <v>16</v>
      </c>
      <c r="C48" s="6">
        <v>45755</v>
      </c>
      <c r="D48" s="3" t="s">
        <v>23</v>
      </c>
      <c r="E48" s="3" t="s">
        <v>344</v>
      </c>
      <c r="F48" s="3" t="s">
        <v>345</v>
      </c>
      <c r="G48" s="14">
        <v>15568</v>
      </c>
      <c r="H48" s="14">
        <v>1166</v>
      </c>
      <c r="I48" s="14">
        <v>546</v>
      </c>
      <c r="J48" s="14">
        <v>826</v>
      </c>
      <c r="K48" s="14">
        <v>21836</v>
      </c>
      <c r="L48" s="14">
        <v>87055</v>
      </c>
      <c r="M48" s="3" t="s">
        <v>14</v>
      </c>
      <c r="N48" s="10">
        <f>SUM(Posts[[#This Row],[Likes]],Posts[[#This Row],[Shares]],Posts[[#This Row],[Comments]])/Posts[[#This Row],[Impressions]]</f>
        <v>0.19849520418126471</v>
      </c>
    </row>
    <row r="49" spans="1:14" x14ac:dyDescent="0.25">
      <c r="A49" s="3" t="s">
        <v>325</v>
      </c>
      <c r="B49" s="3" t="s">
        <v>16</v>
      </c>
      <c r="C49" s="6">
        <v>45926</v>
      </c>
      <c r="D49" s="3" t="s">
        <v>23</v>
      </c>
      <c r="E49" s="3" t="s">
        <v>356</v>
      </c>
      <c r="F49" s="3" t="s">
        <v>357</v>
      </c>
      <c r="G49" s="14">
        <v>21216</v>
      </c>
      <c r="H49" s="14">
        <v>226</v>
      </c>
      <c r="I49" s="14">
        <v>187</v>
      </c>
      <c r="J49" s="14">
        <v>1573</v>
      </c>
      <c r="K49" s="14">
        <v>62688</v>
      </c>
      <c r="L49" s="14">
        <v>111031</v>
      </c>
      <c r="M49" s="3" t="s">
        <v>17</v>
      </c>
      <c r="N49" s="10">
        <f>SUM(Posts[[#This Row],[Likes]],Posts[[#This Row],[Shares]],Posts[[#This Row],[Comments]])/Posts[[#This Row],[Impressions]]</f>
        <v>0.19480145184678152</v>
      </c>
    </row>
    <row r="50" spans="1:14" x14ac:dyDescent="0.25">
      <c r="A50" s="3" t="s">
        <v>93</v>
      </c>
      <c r="B50" s="3" t="s">
        <v>19</v>
      </c>
      <c r="C50" s="6">
        <v>45634</v>
      </c>
      <c r="D50" s="3" t="s">
        <v>23</v>
      </c>
      <c r="E50" s="3" t="s">
        <v>346</v>
      </c>
      <c r="F50" s="3" t="s">
        <v>347</v>
      </c>
      <c r="G50" s="14">
        <v>10427</v>
      </c>
      <c r="H50" s="14">
        <v>1014</v>
      </c>
      <c r="I50" s="14">
        <v>166</v>
      </c>
      <c r="J50" s="14">
        <v>1649</v>
      </c>
      <c r="K50" s="14">
        <v>15145</v>
      </c>
      <c r="L50" s="14">
        <v>59816</v>
      </c>
      <c r="M50" s="3" t="s">
        <v>21</v>
      </c>
      <c r="N50" s="10">
        <f>SUM(Posts[[#This Row],[Likes]],Posts[[#This Row],[Shares]],Posts[[#This Row],[Comments]])/Posts[[#This Row],[Impressions]]</f>
        <v>0.19404507155276179</v>
      </c>
    </row>
    <row r="51" spans="1:14" x14ac:dyDescent="0.25">
      <c r="A51" s="3" t="s">
        <v>151</v>
      </c>
      <c r="B51" s="3" t="s">
        <v>16</v>
      </c>
      <c r="C51" s="6">
        <v>45744</v>
      </c>
      <c r="D51" s="3" t="s">
        <v>13</v>
      </c>
      <c r="E51" s="3" t="s">
        <v>354</v>
      </c>
      <c r="F51" s="3" t="s">
        <v>355</v>
      </c>
      <c r="G51" s="14">
        <v>13637</v>
      </c>
      <c r="H51" s="14">
        <v>1135</v>
      </c>
      <c r="I51" s="14">
        <v>540</v>
      </c>
      <c r="J51" s="14">
        <v>1288</v>
      </c>
      <c r="K51" s="14">
        <v>45183</v>
      </c>
      <c r="L51" s="14">
        <v>79062</v>
      </c>
      <c r="M51" s="3" t="s">
        <v>37</v>
      </c>
      <c r="N51" s="10">
        <f>SUM(Posts[[#This Row],[Likes]],Posts[[#This Row],[Shares]],Posts[[#This Row],[Comments]])/Posts[[#This Row],[Impressions]]</f>
        <v>0.19367079001290127</v>
      </c>
    </row>
    <row r="52" spans="1:14" x14ac:dyDescent="0.25">
      <c r="A52" s="3" t="s">
        <v>154</v>
      </c>
      <c r="B52" s="3" t="s">
        <v>16</v>
      </c>
      <c r="C52" s="6">
        <v>45494</v>
      </c>
      <c r="D52" s="3" t="s">
        <v>13</v>
      </c>
      <c r="E52" s="3" t="s">
        <v>350</v>
      </c>
      <c r="F52" s="3" t="s">
        <v>351</v>
      </c>
      <c r="G52" s="14">
        <v>11911</v>
      </c>
      <c r="H52" s="14">
        <v>1360</v>
      </c>
      <c r="I52" s="14">
        <v>778</v>
      </c>
      <c r="J52" s="14">
        <v>1168</v>
      </c>
      <c r="K52" s="14">
        <v>16483</v>
      </c>
      <c r="L52" s="14">
        <v>72556</v>
      </c>
      <c r="M52" s="3" t="s">
        <v>21</v>
      </c>
      <c r="N52" s="10">
        <f>SUM(Posts[[#This Row],[Likes]],Posts[[#This Row],[Shares]],Posts[[#This Row],[Comments]])/Posts[[#This Row],[Impressions]]</f>
        <v>0.19362974805667346</v>
      </c>
    </row>
    <row r="53" spans="1:14" x14ac:dyDescent="0.25">
      <c r="A53" s="3" t="s">
        <v>122</v>
      </c>
      <c r="B53" s="3" t="s">
        <v>33</v>
      </c>
      <c r="C53" s="6">
        <v>45517</v>
      </c>
      <c r="D53" s="3" t="s">
        <v>29</v>
      </c>
      <c r="E53" s="3" t="s">
        <v>360</v>
      </c>
      <c r="F53" s="3" t="s">
        <v>361</v>
      </c>
      <c r="G53" s="14">
        <v>6854</v>
      </c>
      <c r="H53" s="14">
        <v>417</v>
      </c>
      <c r="I53" s="14">
        <v>467</v>
      </c>
      <c r="J53" s="14">
        <v>1003</v>
      </c>
      <c r="K53" s="14">
        <v>61333</v>
      </c>
      <c r="L53" s="14">
        <v>40281</v>
      </c>
      <c r="M53" s="3" t="s">
        <v>14</v>
      </c>
      <c r="N53" s="10">
        <f>SUM(Posts[[#This Row],[Likes]],Posts[[#This Row],[Shares]],Posts[[#This Row],[Comments]])/Posts[[#This Row],[Impressions]]</f>
        <v>0.19210049402944315</v>
      </c>
    </row>
    <row r="54" spans="1:14" x14ac:dyDescent="0.25">
      <c r="A54" s="3" t="s">
        <v>72</v>
      </c>
      <c r="B54" s="3" t="s">
        <v>16</v>
      </c>
      <c r="C54" s="6">
        <v>45712</v>
      </c>
      <c r="D54" s="3" t="s">
        <v>20</v>
      </c>
      <c r="E54" s="3" t="s">
        <v>356</v>
      </c>
      <c r="F54" s="3" t="s">
        <v>357</v>
      </c>
      <c r="G54" s="14">
        <v>24984</v>
      </c>
      <c r="H54" s="14">
        <v>753</v>
      </c>
      <c r="I54" s="14">
        <v>461</v>
      </c>
      <c r="J54" s="14">
        <v>2710</v>
      </c>
      <c r="K54" s="14">
        <v>20792</v>
      </c>
      <c r="L54" s="14">
        <v>141520</v>
      </c>
      <c r="M54" s="3" t="s">
        <v>21</v>
      </c>
      <c r="N54" s="10">
        <f>SUM(Posts[[#This Row],[Likes]],Posts[[#This Row],[Shares]],Posts[[#This Row],[Comments]])/Posts[[#This Row],[Impressions]]</f>
        <v>0.18511871113623515</v>
      </c>
    </row>
    <row r="55" spans="1:14" x14ac:dyDescent="0.25">
      <c r="A55" s="3" t="s">
        <v>177</v>
      </c>
      <c r="B55" s="3" t="s">
        <v>12</v>
      </c>
      <c r="C55" s="6">
        <v>45934</v>
      </c>
      <c r="D55" s="3" t="s">
        <v>23</v>
      </c>
      <c r="E55" s="3" t="s">
        <v>360</v>
      </c>
      <c r="F55" s="3" t="s">
        <v>361</v>
      </c>
      <c r="G55" s="14">
        <v>12488</v>
      </c>
      <c r="H55" s="14">
        <v>1403</v>
      </c>
      <c r="I55" s="14">
        <v>247</v>
      </c>
      <c r="J55" s="14">
        <v>1350</v>
      </c>
      <c r="K55" s="14">
        <v>28370</v>
      </c>
      <c r="L55" s="14">
        <v>76487</v>
      </c>
      <c r="M55" s="3" t="s">
        <v>17</v>
      </c>
      <c r="N55" s="10">
        <f>SUM(Posts[[#This Row],[Likes]],Posts[[#This Row],[Shares]],Posts[[#This Row],[Comments]])/Posts[[#This Row],[Impressions]]</f>
        <v>0.18484186855282597</v>
      </c>
    </row>
    <row r="56" spans="1:14" x14ac:dyDescent="0.25">
      <c r="A56" s="3" t="s">
        <v>255</v>
      </c>
      <c r="B56" s="3" t="s">
        <v>19</v>
      </c>
      <c r="C56" s="6">
        <v>45488</v>
      </c>
      <c r="D56" s="3" t="s">
        <v>23</v>
      </c>
      <c r="E56" s="3" t="s">
        <v>27</v>
      </c>
      <c r="F56" s="3"/>
      <c r="G56" s="14">
        <v>12554</v>
      </c>
      <c r="H56" s="14">
        <v>381</v>
      </c>
      <c r="I56" s="14">
        <v>211</v>
      </c>
      <c r="J56" s="14">
        <v>2286</v>
      </c>
      <c r="K56" s="14">
        <v>50567</v>
      </c>
      <c r="L56" s="14">
        <v>72779</v>
      </c>
      <c r="M56" s="3" t="s">
        <v>14</v>
      </c>
      <c r="N56" s="10">
        <f>SUM(Posts[[#This Row],[Likes]],Posts[[#This Row],[Shares]],Posts[[#This Row],[Comments]])/Posts[[#This Row],[Impressions]]</f>
        <v>0.18062902760411656</v>
      </c>
    </row>
    <row r="57" spans="1:14" x14ac:dyDescent="0.25">
      <c r="A57" s="3" t="s">
        <v>173</v>
      </c>
      <c r="B57" s="3" t="s">
        <v>12</v>
      </c>
      <c r="C57" s="6">
        <v>45762</v>
      </c>
      <c r="D57" s="3" t="s">
        <v>23</v>
      </c>
      <c r="E57" s="3" t="s">
        <v>356</v>
      </c>
      <c r="F57" s="3" t="s">
        <v>357</v>
      </c>
      <c r="G57" s="14">
        <v>20977</v>
      </c>
      <c r="H57" s="14">
        <v>1402</v>
      </c>
      <c r="I57" s="14">
        <v>301</v>
      </c>
      <c r="J57" s="14">
        <v>1284</v>
      </c>
      <c r="K57" s="14">
        <v>24620</v>
      </c>
      <c r="L57" s="14">
        <v>128009</v>
      </c>
      <c r="M57" s="3" t="s">
        <v>14</v>
      </c>
      <c r="N57" s="10">
        <f>SUM(Posts[[#This Row],[Likes]],Posts[[#This Row],[Shares]],Posts[[#This Row],[Comments]])/Posts[[#This Row],[Impressions]]</f>
        <v>0.17717504237983267</v>
      </c>
    </row>
    <row r="58" spans="1:14" x14ac:dyDescent="0.25">
      <c r="A58" s="3" t="s">
        <v>164</v>
      </c>
      <c r="B58" s="3" t="s">
        <v>12</v>
      </c>
      <c r="C58" s="6">
        <v>45594</v>
      </c>
      <c r="D58" s="3" t="s">
        <v>20</v>
      </c>
      <c r="E58" s="3" t="s">
        <v>350</v>
      </c>
      <c r="F58" s="3" t="s">
        <v>358</v>
      </c>
      <c r="G58" s="14">
        <v>23969</v>
      </c>
      <c r="H58" s="14">
        <v>1433</v>
      </c>
      <c r="I58" s="14">
        <v>372</v>
      </c>
      <c r="J58" s="14">
        <v>1092</v>
      </c>
      <c r="K58" s="14">
        <v>32147</v>
      </c>
      <c r="L58" s="14">
        <v>145823</v>
      </c>
      <c r="M58" s="3" t="s">
        <v>21</v>
      </c>
      <c r="N58" s="10">
        <f>SUM(Posts[[#This Row],[Likes]],Posts[[#This Row],[Shares]],Posts[[#This Row],[Comments]])/Posts[[#This Row],[Impressions]]</f>
        <v>0.17674852389540743</v>
      </c>
    </row>
    <row r="59" spans="1:14" x14ac:dyDescent="0.25">
      <c r="A59" s="3" t="s">
        <v>47</v>
      </c>
      <c r="B59" s="3" t="s">
        <v>33</v>
      </c>
      <c r="C59" s="6">
        <v>45602</v>
      </c>
      <c r="D59" s="3" t="s">
        <v>29</v>
      </c>
      <c r="E59" s="3" t="s">
        <v>350</v>
      </c>
      <c r="F59" s="3" t="s">
        <v>358</v>
      </c>
      <c r="G59" s="14">
        <v>8938</v>
      </c>
      <c r="H59" s="14">
        <v>800</v>
      </c>
      <c r="I59" s="14">
        <v>842</v>
      </c>
      <c r="J59" s="14">
        <v>2072</v>
      </c>
      <c r="K59" s="14">
        <v>31736</v>
      </c>
      <c r="L59" s="14">
        <v>59975</v>
      </c>
      <c r="M59" s="3" t="s">
        <v>24</v>
      </c>
      <c r="N59" s="10">
        <f>SUM(Posts[[#This Row],[Likes]],Posts[[#This Row],[Shares]],Posts[[#This Row],[Comments]])/Posts[[#This Row],[Impressions]]</f>
        <v>0.17640683618174238</v>
      </c>
    </row>
    <row r="60" spans="1:14" x14ac:dyDescent="0.25">
      <c r="A60" s="3" t="s">
        <v>150</v>
      </c>
      <c r="B60" s="3" t="s">
        <v>19</v>
      </c>
      <c r="C60" s="6">
        <v>45543</v>
      </c>
      <c r="D60" s="3" t="s">
        <v>29</v>
      </c>
      <c r="E60" s="3" t="s">
        <v>344</v>
      </c>
      <c r="F60" s="3" t="s">
        <v>345</v>
      </c>
      <c r="G60" s="14">
        <v>8090</v>
      </c>
      <c r="H60" s="14">
        <v>570</v>
      </c>
      <c r="I60" s="14">
        <v>399</v>
      </c>
      <c r="J60" s="14">
        <v>1862</v>
      </c>
      <c r="K60" s="14">
        <v>34088</v>
      </c>
      <c r="L60" s="14">
        <v>52115</v>
      </c>
      <c r="M60" s="3" t="s">
        <v>14</v>
      </c>
      <c r="N60" s="10">
        <f>SUM(Posts[[#This Row],[Likes]],Posts[[#This Row],[Shares]],Posts[[#This Row],[Comments]])/Posts[[#This Row],[Impressions]]</f>
        <v>0.17382711311522595</v>
      </c>
    </row>
    <row r="61" spans="1:14" x14ac:dyDescent="0.25">
      <c r="A61" s="3" t="s">
        <v>116</v>
      </c>
      <c r="B61" s="3" t="s">
        <v>16</v>
      </c>
      <c r="C61" s="6">
        <v>45924</v>
      </c>
      <c r="D61" s="3" t="s">
        <v>20</v>
      </c>
      <c r="E61" s="3" t="s">
        <v>352</v>
      </c>
      <c r="F61" s="3" t="s">
        <v>353</v>
      </c>
      <c r="G61" s="14">
        <v>12209</v>
      </c>
      <c r="H61" s="14">
        <v>222</v>
      </c>
      <c r="I61" s="14">
        <v>479</v>
      </c>
      <c r="J61" s="14">
        <v>2748</v>
      </c>
      <c r="K61" s="14">
        <v>24615</v>
      </c>
      <c r="L61" s="14">
        <v>74707</v>
      </c>
      <c r="M61" s="3" t="s">
        <v>17</v>
      </c>
      <c r="N61" s="10">
        <f>SUM(Posts[[#This Row],[Likes]],Posts[[#This Row],[Shares]],Posts[[#This Row],[Comments]])/Posts[[#This Row],[Impressions]]</f>
        <v>0.17280843829895459</v>
      </c>
    </row>
    <row r="62" spans="1:14" x14ac:dyDescent="0.25">
      <c r="A62" s="3" t="s">
        <v>69</v>
      </c>
      <c r="B62" s="3" t="s">
        <v>16</v>
      </c>
      <c r="C62" s="6">
        <v>45718</v>
      </c>
      <c r="D62" s="3" t="s">
        <v>23</v>
      </c>
      <c r="E62" s="3" t="s">
        <v>359</v>
      </c>
      <c r="F62" s="3" t="s">
        <v>27</v>
      </c>
      <c r="G62" s="14">
        <v>22562</v>
      </c>
      <c r="H62" s="14">
        <v>778</v>
      </c>
      <c r="I62" s="14">
        <v>907</v>
      </c>
      <c r="J62" s="14">
        <v>1354</v>
      </c>
      <c r="K62" s="14">
        <v>34475</v>
      </c>
      <c r="L62" s="14">
        <v>141459</v>
      </c>
      <c r="M62" s="3" t="s">
        <v>24</v>
      </c>
      <c r="N62" s="10">
        <f>SUM(Posts[[#This Row],[Likes]],Posts[[#This Row],[Shares]],Posts[[#This Row],[Comments]])/Posts[[#This Row],[Impressions]]</f>
        <v>0.17140655596321194</v>
      </c>
    </row>
    <row r="63" spans="1:14" x14ac:dyDescent="0.25">
      <c r="A63" s="3" t="s">
        <v>301</v>
      </c>
      <c r="B63" s="3" t="s">
        <v>16</v>
      </c>
      <c r="C63" s="6">
        <v>45450</v>
      </c>
      <c r="D63" s="3" t="s">
        <v>23</v>
      </c>
      <c r="E63" s="3" t="s">
        <v>350</v>
      </c>
      <c r="F63" s="3" t="s">
        <v>351</v>
      </c>
      <c r="G63" s="14">
        <v>8233</v>
      </c>
      <c r="H63" s="14">
        <v>436</v>
      </c>
      <c r="I63" s="14">
        <v>269</v>
      </c>
      <c r="J63" s="14">
        <v>2037</v>
      </c>
      <c r="K63" s="14">
        <v>8875</v>
      </c>
      <c r="L63" s="14">
        <v>52289</v>
      </c>
      <c r="M63" s="3" t="s">
        <v>14</v>
      </c>
      <c r="N63" s="10">
        <f>SUM(Posts[[#This Row],[Likes]],Posts[[#This Row],[Shares]],Posts[[#This Row],[Comments]])/Posts[[#This Row],[Impressions]]</f>
        <v>0.17093461339861157</v>
      </c>
    </row>
    <row r="64" spans="1:14" x14ac:dyDescent="0.25">
      <c r="A64" s="3" t="s">
        <v>185</v>
      </c>
      <c r="B64" s="3" t="s">
        <v>16</v>
      </c>
      <c r="C64" s="6">
        <v>45528</v>
      </c>
      <c r="D64" s="3" t="s">
        <v>20</v>
      </c>
      <c r="E64" s="3" t="s">
        <v>359</v>
      </c>
      <c r="F64" s="3" t="s">
        <v>27</v>
      </c>
      <c r="G64" s="14">
        <v>22527</v>
      </c>
      <c r="H64" s="14">
        <v>865</v>
      </c>
      <c r="I64" s="14">
        <v>646</v>
      </c>
      <c r="J64" s="14">
        <v>992</v>
      </c>
      <c r="K64" s="14">
        <v>18654</v>
      </c>
      <c r="L64" s="14">
        <v>141376</v>
      </c>
      <c r="M64" s="3" t="s">
        <v>37</v>
      </c>
      <c r="N64" s="10">
        <f>SUM(Posts[[#This Row],[Likes]],Posts[[#This Row],[Shares]],Posts[[#This Row],[Comments]])/Posts[[#This Row],[Impressions]]</f>
        <v>0.17002885921231325</v>
      </c>
    </row>
    <row r="65" spans="1:14" x14ac:dyDescent="0.25">
      <c r="A65" s="3" t="s">
        <v>183</v>
      </c>
      <c r="B65" s="3" t="s">
        <v>33</v>
      </c>
      <c r="C65" s="6">
        <v>45515</v>
      </c>
      <c r="D65" s="3" t="s">
        <v>29</v>
      </c>
      <c r="E65" s="3" t="s">
        <v>346</v>
      </c>
      <c r="F65" s="3" t="s">
        <v>347</v>
      </c>
      <c r="G65" s="14">
        <v>14394</v>
      </c>
      <c r="H65" s="14">
        <v>1202</v>
      </c>
      <c r="I65" s="14">
        <v>188</v>
      </c>
      <c r="J65" s="14">
        <v>1259</v>
      </c>
      <c r="K65" s="14">
        <v>21925</v>
      </c>
      <c r="L65" s="14">
        <v>94061</v>
      </c>
      <c r="M65" s="3" t="s">
        <v>24</v>
      </c>
      <c r="N65" s="10">
        <f>SUM(Posts[[#This Row],[Likes]],Posts[[#This Row],[Shares]],Posts[[#This Row],[Comments]])/Posts[[#This Row],[Impressions]]</f>
        <v>0.1678059982351878</v>
      </c>
    </row>
    <row r="66" spans="1:14" x14ac:dyDescent="0.25">
      <c r="A66" s="3" t="s">
        <v>227</v>
      </c>
      <c r="B66" s="3" t="s">
        <v>16</v>
      </c>
      <c r="C66" s="6">
        <v>45921</v>
      </c>
      <c r="D66" s="3" t="s">
        <v>13</v>
      </c>
      <c r="E66" s="3" t="s">
        <v>360</v>
      </c>
      <c r="F66" s="3" t="s">
        <v>361</v>
      </c>
      <c r="G66" s="14">
        <v>19680</v>
      </c>
      <c r="H66" s="14">
        <v>999</v>
      </c>
      <c r="I66" s="14">
        <v>838</v>
      </c>
      <c r="J66" s="14">
        <v>891</v>
      </c>
      <c r="K66" s="14">
        <v>29576</v>
      </c>
      <c r="L66" s="14">
        <v>129152</v>
      </c>
      <c r="M66" s="3" t="s">
        <v>17</v>
      </c>
      <c r="N66" s="10">
        <f>SUM(Posts[[#This Row],[Likes]],Posts[[#This Row],[Shares]],Posts[[#This Row],[Comments]])/Posts[[#This Row],[Impressions]]</f>
        <v>0.16660214321110009</v>
      </c>
    </row>
    <row r="67" spans="1:14" x14ac:dyDescent="0.25">
      <c r="A67" s="3" t="s">
        <v>98</v>
      </c>
      <c r="B67" s="3" t="s">
        <v>19</v>
      </c>
      <c r="C67" s="6">
        <v>45921</v>
      </c>
      <c r="D67" s="3" t="s">
        <v>23</v>
      </c>
      <c r="E67" s="3" t="s">
        <v>344</v>
      </c>
      <c r="F67" s="3" t="s">
        <v>345</v>
      </c>
      <c r="G67" s="14">
        <v>23103</v>
      </c>
      <c r="H67" s="14">
        <v>1380</v>
      </c>
      <c r="I67" s="14">
        <v>191</v>
      </c>
      <c r="J67" s="14">
        <v>1547</v>
      </c>
      <c r="K67" s="14">
        <v>77798</v>
      </c>
      <c r="L67" s="14">
        <v>148856</v>
      </c>
      <c r="M67" s="3" t="s">
        <v>17</v>
      </c>
      <c r="N67" s="10">
        <f>SUM(Posts[[#This Row],[Likes]],Posts[[#This Row],[Shares]],Posts[[#This Row],[Comments]])/Posts[[#This Row],[Impressions]]</f>
        <v>0.16575751061428495</v>
      </c>
    </row>
    <row r="68" spans="1:14" x14ac:dyDescent="0.25">
      <c r="A68" s="3" t="s">
        <v>246</v>
      </c>
      <c r="B68" s="3" t="s">
        <v>12</v>
      </c>
      <c r="C68" s="6">
        <v>45739</v>
      </c>
      <c r="D68" s="3" t="s">
        <v>29</v>
      </c>
      <c r="E68" s="3" t="s">
        <v>352</v>
      </c>
      <c r="F68" s="3" t="s">
        <v>353</v>
      </c>
      <c r="G68" s="14">
        <v>17728</v>
      </c>
      <c r="H68" s="14">
        <v>1487</v>
      </c>
      <c r="I68" s="14">
        <v>210</v>
      </c>
      <c r="J68" s="14">
        <v>2469</v>
      </c>
      <c r="K68" s="14">
        <v>30565</v>
      </c>
      <c r="L68" s="14">
        <v>117576</v>
      </c>
      <c r="M68" s="3" t="s">
        <v>14</v>
      </c>
      <c r="N68" s="10">
        <f>SUM(Posts[[#This Row],[Likes]],Posts[[#This Row],[Shares]],Posts[[#This Row],[Comments]])/Posts[[#This Row],[Impressions]]</f>
        <v>0.16521228822208614</v>
      </c>
    </row>
    <row r="69" spans="1:14" x14ac:dyDescent="0.25">
      <c r="A69" s="3" t="s">
        <v>310</v>
      </c>
      <c r="B69" s="3" t="s">
        <v>33</v>
      </c>
      <c r="C69" s="6">
        <v>45491</v>
      </c>
      <c r="D69" s="3" t="s">
        <v>23</v>
      </c>
      <c r="E69" s="3" t="s">
        <v>344</v>
      </c>
      <c r="F69" s="3" t="s">
        <v>345</v>
      </c>
      <c r="G69" s="14">
        <v>16594</v>
      </c>
      <c r="H69" s="14">
        <v>809</v>
      </c>
      <c r="I69" s="14">
        <v>784</v>
      </c>
      <c r="J69" s="14">
        <v>1655</v>
      </c>
      <c r="K69" s="14">
        <v>35505</v>
      </c>
      <c r="L69" s="14">
        <v>112588</v>
      </c>
      <c r="M69" s="3" t="s">
        <v>21</v>
      </c>
      <c r="N69" s="10">
        <f>SUM(Posts[[#This Row],[Likes]],Posts[[#This Row],[Shares]],Posts[[#This Row],[Comments]])/Posts[[#This Row],[Impressions]]</f>
        <v>0.16153586527871533</v>
      </c>
    </row>
    <row r="70" spans="1:14" x14ac:dyDescent="0.25">
      <c r="A70" s="3" t="s">
        <v>87</v>
      </c>
      <c r="B70" s="3" t="s">
        <v>12</v>
      </c>
      <c r="C70" s="6">
        <v>45920</v>
      </c>
      <c r="D70" s="3" t="s">
        <v>13</v>
      </c>
      <c r="E70" s="3" t="s">
        <v>350</v>
      </c>
      <c r="F70" s="3" t="s">
        <v>358</v>
      </c>
      <c r="G70" s="14">
        <v>18633</v>
      </c>
      <c r="H70" s="14">
        <v>797</v>
      </c>
      <c r="I70" s="14">
        <v>303</v>
      </c>
      <c r="J70" s="14">
        <v>659</v>
      </c>
      <c r="K70" s="14">
        <v>7</v>
      </c>
      <c r="L70" s="14">
        <v>122189</v>
      </c>
      <c r="M70" s="3" t="s">
        <v>17</v>
      </c>
      <c r="N70" s="10">
        <f>SUM(Posts[[#This Row],[Likes]],Posts[[#This Row],[Shares]],Posts[[#This Row],[Comments]])/Posts[[#This Row],[Impressions]]</f>
        <v>0.16149571565361859</v>
      </c>
    </row>
    <row r="71" spans="1:14" x14ac:dyDescent="0.25">
      <c r="A71" s="3" t="s">
        <v>100</v>
      </c>
      <c r="B71" s="3" t="s">
        <v>19</v>
      </c>
      <c r="C71" s="6">
        <v>45505</v>
      </c>
      <c r="D71" s="3" t="s">
        <v>13</v>
      </c>
      <c r="E71" s="3" t="s">
        <v>348</v>
      </c>
      <c r="F71" s="3" t="s">
        <v>349</v>
      </c>
      <c r="G71" s="14">
        <v>21758</v>
      </c>
      <c r="H71" s="14">
        <v>1380</v>
      </c>
      <c r="I71" s="14">
        <v>188</v>
      </c>
      <c r="J71" s="14">
        <v>1735</v>
      </c>
      <c r="K71" s="14">
        <v>20998</v>
      </c>
      <c r="L71" s="14">
        <v>147803</v>
      </c>
      <c r="M71" s="3" t="s">
        <v>37</v>
      </c>
      <c r="N71" s="10">
        <f>SUM(Posts[[#This Row],[Likes]],Posts[[#This Row],[Shares]],Posts[[#This Row],[Comments]])/Posts[[#This Row],[Impressions]]</f>
        <v>0.15781817689762725</v>
      </c>
    </row>
    <row r="72" spans="1:14" x14ac:dyDescent="0.25">
      <c r="A72" s="3" t="s">
        <v>214</v>
      </c>
      <c r="B72" s="3" t="s">
        <v>12</v>
      </c>
      <c r="C72" s="6">
        <v>45740</v>
      </c>
      <c r="D72" s="3" t="s">
        <v>13</v>
      </c>
      <c r="E72" s="3" t="s">
        <v>27</v>
      </c>
      <c r="F72" s="3"/>
      <c r="G72" s="14">
        <v>10172</v>
      </c>
      <c r="H72" s="14">
        <v>1398</v>
      </c>
      <c r="I72" s="14">
        <v>394</v>
      </c>
      <c r="J72" s="14">
        <v>2358</v>
      </c>
      <c r="K72" s="14">
        <v>59610</v>
      </c>
      <c r="L72" s="14">
        <v>76321</v>
      </c>
      <c r="M72" s="3" t="s">
        <v>24</v>
      </c>
      <c r="N72" s="10">
        <f>SUM(Posts[[#This Row],[Likes]],Posts[[#This Row],[Shares]],Posts[[#This Row],[Comments]])/Posts[[#This Row],[Impressions]]</f>
        <v>0.15675895231980713</v>
      </c>
    </row>
    <row r="73" spans="1:14" x14ac:dyDescent="0.25">
      <c r="A73" s="3" t="s">
        <v>75</v>
      </c>
      <c r="B73" s="3" t="s">
        <v>33</v>
      </c>
      <c r="C73" s="6">
        <v>45476</v>
      </c>
      <c r="D73" s="3" t="s">
        <v>20</v>
      </c>
      <c r="E73" s="3" t="s">
        <v>352</v>
      </c>
      <c r="F73" s="3" t="s">
        <v>353</v>
      </c>
      <c r="G73" s="14">
        <v>14338</v>
      </c>
      <c r="H73" s="14">
        <v>1454</v>
      </c>
      <c r="I73" s="14">
        <v>697</v>
      </c>
      <c r="J73" s="14">
        <v>2703</v>
      </c>
      <c r="K73" s="14">
        <v>21288</v>
      </c>
      <c r="L73" s="14">
        <v>107649</v>
      </c>
      <c r="M73" s="3" t="s">
        <v>24</v>
      </c>
      <c r="N73" s="10">
        <f>SUM(Posts[[#This Row],[Likes]],Posts[[#This Row],[Shares]],Posts[[#This Row],[Comments]])/Posts[[#This Row],[Impressions]]</f>
        <v>0.1531737405828201</v>
      </c>
    </row>
    <row r="74" spans="1:14" x14ac:dyDescent="0.25">
      <c r="A74" s="3" t="s">
        <v>157</v>
      </c>
      <c r="B74" s="3" t="s">
        <v>19</v>
      </c>
      <c r="C74" s="6">
        <v>45720</v>
      </c>
      <c r="D74" s="3" t="s">
        <v>23</v>
      </c>
      <c r="E74" s="3" t="s">
        <v>346</v>
      </c>
      <c r="F74" s="3" t="s">
        <v>347</v>
      </c>
      <c r="G74" s="14">
        <v>5266</v>
      </c>
      <c r="H74" s="14">
        <v>316</v>
      </c>
      <c r="I74" s="14">
        <v>837</v>
      </c>
      <c r="J74" s="14">
        <v>2276</v>
      </c>
      <c r="K74" s="14">
        <v>20967</v>
      </c>
      <c r="L74" s="14">
        <v>41969</v>
      </c>
      <c r="M74" s="3" t="s">
        <v>37</v>
      </c>
      <c r="N74" s="10">
        <f>SUM(Posts[[#This Row],[Likes]],Posts[[#This Row],[Shares]],Posts[[#This Row],[Comments]])/Posts[[#This Row],[Impressions]]</f>
        <v>0.1529462222116324</v>
      </c>
    </row>
    <row r="75" spans="1:14" x14ac:dyDescent="0.25">
      <c r="A75" s="3" t="s">
        <v>65</v>
      </c>
      <c r="B75" s="3" t="s">
        <v>12</v>
      </c>
      <c r="C75" s="6">
        <v>45914</v>
      </c>
      <c r="D75" s="3" t="s">
        <v>29</v>
      </c>
      <c r="E75" s="3" t="s">
        <v>354</v>
      </c>
      <c r="F75" s="3" t="s">
        <v>355</v>
      </c>
      <c r="G75" s="14">
        <v>19844</v>
      </c>
      <c r="H75" s="14">
        <v>1020</v>
      </c>
      <c r="I75" s="14">
        <v>247</v>
      </c>
      <c r="J75" s="14">
        <v>2354</v>
      </c>
      <c r="K75" s="14">
        <v>37792</v>
      </c>
      <c r="L75" s="14">
        <v>138317</v>
      </c>
      <c r="M75" s="3" t="s">
        <v>17</v>
      </c>
      <c r="N75" s="10">
        <f>SUM(Posts[[#This Row],[Likes]],Posts[[#This Row],[Shares]],Posts[[#This Row],[Comments]])/Posts[[#This Row],[Impressions]]</f>
        <v>0.15262765965138053</v>
      </c>
    </row>
    <row r="76" spans="1:14" x14ac:dyDescent="0.25">
      <c r="A76" s="3" t="s">
        <v>102</v>
      </c>
      <c r="B76" s="3" t="s">
        <v>16</v>
      </c>
      <c r="C76" s="6">
        <v>45720</v>
      </c>
      <c r="D76" s="3" t="s">
        <v>29</v>
      </c>
      <c r="E76" s="3" t="s">
        <v>356</v>
      </c>
      <c r="F76" s="3" t="s">
        <v>357</v>
      </c>
      <c r="G76" s="14">
        <v>13470</v>
      </c>
      <c r="H76" s="14">
        <v>523</v>
      </c>
      <c r="I76" s="14">
        <v>280</v>
      </c>
      <c r="J76" s="14">
        <v>2682</v>
      </c>
      <c r="K76" s="14">
        <v>8538</v>
      </c>
      <c r="L76" s="14">
        <v>95204</v>
      </c>
      <c r="M76" s="3" t="s">
        <v>14</v>
      </c>
      <c r="N76" s="10">
        <f>SUM(Posts[[#This Row],[Likes]],Posts[[#This Row],[Shares]],Posts[[#This Row],[Comments]])/Posts[[#This Row],[Impressions]]</f>
        <v>0.14992017142136885</v>
      </c>
    </row>
    <row r="77" spans="1:14" x14ac:dyDescent="0.25">
      <c r="A77" s="3" t="s">
        <v>289</v>
      </c>
      <c r="B77" s="3" t="s">
        <v>19</v>
      </c>
      <c r="C77" s="6">
        <v>45687</v>
      </c>
      <c r="D77" s="3" t="s">
        <v>20</v>
      </c>
      <c r="E77" s="3" t="s">
        <v>359</v>
      </c>
      <c r="F77" s="3" t="s">
        <v>27</v>
      </c>
      <c r="G77" s="14">
        <v>12954</v>
      </c>
      <c r="H77" s="14">
        <v>913</v>
      </c>
      <c r="I77" s="14">
        <v>722</v>
      </c>
      <c r="J77" s="14">
        <v>1049</v>
      </c>
      <c r="K77" s="14">
        <v>475</v>
      </c>
      <c r="L77" s="14">
        <v>97716</v>
      </c>
      <c r="M77" s="3" t="s">
        <v>14</v>
      </c>
      <c r="N77" s="10">
        <f>SUM(Posts[[#This Row],[Likes]],Posts[[#This Row],[Shares]],Posts[[#This Row],[Comments]])/Posts[[#This Row],[Impressions]]</f>
        <v>0.14930001228048631</v>
      </c>
    </row>
    <row r="78" spans="1:14" x14ac:dyDescent="0.25">
      <c r="A78" s="3" t="s">
        <v>133</v>
      </c>
      <c r="B78" s="3" t="s">
        <v>16</v>
      </c>
      <c r="C78" s="6">
        <v>45928</v>
      </c>
      <c r="D78" s="3" t="s">
        <v>29</v>
      </c>
      <c r="E78" s="3" t="s">
        <v>354</v>
      </c>
      <c r="F78" s="3" t="s">
        <v>355</v>
      </c>
      <c r="G78" s="14">
        <v>21963</v>
      </c>
      <c r="H78" s="14">
        <v>1356</v>
      </c>
      <c r="I78" s="14">
        <v>349</v>
      </c>
      <c r="J78" s="14">
        <v>1206</v>
      </c>
      <c r="K78" s="14">
        <v>51755</v>
      </c>
      <c r="L78" s="14">
        <v>159273</v>
      </c>
      <c r="M78" s="3" t="s">
        <v>17</v>
      </c>
      <c r="N78" s="10">
        <f>SUM(Posts[[#This Row],[Likes]],Posts[[#This Row],[Shares]],Posts[[#This Row],[Comments]])/Posts[[#This Row],[Impressions]]</f>
        <v>0.14860020216860359</v>
      </c>
    </row>
    <row r="79" spans="1:14" x14ac:dyDescent="0.25">
      <c r="A79" s="3" t="s">
        <v>273</v>
      </c>
      <c r="B79" s="3" t="s">
        <v>19</v>
      </c>
      <c r="C79" s="6">
        <v>45914</v>
      </c>
      <c r="D79" s="3" t="s">
        <v>29</v>
      </c>
      <c r="E79" s="3" t="s">
        <v>350</v>
      </c>
      <c r="F79" s="3" t="s">
        <v>358</v>
      </c>
      <c r="G79" s="14">
        <v>12787</v>
      </c>
      <c r="H79" s="14">
        <v>945</v>
      </c>
      <c r="I79" s="14">
        <v>974</v>
      </c>
      <c r="J79" s="14">
        <v>1407</v>
      </c>
      <c r="K79" s="14">
        <v>4037</v>
      </c>
      <c r="L79" s="14">
        <v>99182</v>
      </c>
      <c r="M79" s="3" t="s">
        <v>17</v>
      </c>
      <c r="N79" s="10">
        <f>SUM(Posts[[#This Row],[Likes]],Posts[[#This Row],[Shares]],Posts[[#This Row],[Comments]])/Posts[[#This Row],[Impressions]]</f>
        <v>0.14827287209372669</v>
      </c>
    </row>
    <row r="80" spans="1:14" x14ac:dyDescent="0.25">
      <c r="A80" s="3" t="s">
        <v>129</v>
      </c>
      <c r="B80" s="3" t="s">
        <v>16</v>
      </c>
      <c r="C80" s="6">
        <v>45739</v>
      </c>
      <c r="D80" s="3" t="s">
        <v>13</v>
      </c>
      <c r="E80" s="3" t="s">
        <v>348</v>
      </c>
      <c r="F80" s="3" t="s">
        <v>349</v>
      </c>
      <c r="G80" s="14">
        <v>24711</v>
      </c>
      <c r="H80" s="14">
        <v>882</v>
      </c>
      <c r="I80" s="14">
        <v>876</v>
      </c>
      <c r="J80" s="14">
        <v>2728</v>
      </c>
      <c r="K80" s="14">
        <v>32015</v>
      </c>
      <c r="L80" s="14">
        <v>180272</v>
      </c>
      <c r="M80" s="3" t="s">
        <v>24</v>
      </c>
      <c r="N80" s="10">
        <f>SUM(Posts[[#This Row],[Likes]],Posts[[#This Row],[Shares]],Posts[[#This Row],[Comments]])/Posts[[#This Row],[Impressions]]</f>
        <v>0.1468281263867933</v>
      </c>
    </row>
    <row r="81" spans="1:14" x14ac:dyDescent="0.25">
      <c r="A81" s="3" t="s">
        <v>267</v>
      </c>
      <c r="B81" s="3" t="s">
        <v>12</v>
      </c>
      <c r="C81" s="6">
        <v>45912</v>
      </c>
      <c r="D81" s="3" t="s">
        <v>23</v>
      </c>
      <c r="E81" s="3" t="s">
        <v>352</v>
      </c>
      <c r="F81" s="3" t="s">
        <v>353</v>
      </c>
      <c r="G81" s="14">
        <v>15918</v>
      </c>
      <c r="H81" s="14">
        <v>1114</v>
      </c>
      <c r="I81" s="14">
        <v>392</v>
      </c>
      <c r="J81" s="14">
        <v>1641</v>
      </c>
      <c r="K81" s="14">
        <v>28044</v>
      </c>
      <c r="L81" s="14">
        <v>118714</v>
      </c>
      <c r="M81" s="3" t="s">
        <v>17</v>
      </c>
      <c r="N81" s="10">
        <f>SUM(Posts[[#This Row],[Likes]],Posts[[#This Row],[Shares]],Posts[[#This Row],[Comments]])/Posts[[#This Row],[Impressions]]</f>
        <v>0.14677291642097814</v>
      </c>
    </row>
    <row r="82" spans="1:14" x14ac:dyDescent="0.25">
      <c r="A82" s="3" t="s">
        <v>180</v>
      </c>
      <c r="B82" s="3" t="s">
        <v>19</v>
      </c>
      <c r="C82" s="6">
        <v>45647</v>
      </c>
      <c r="D82" s="3" t="s">
        <v>13</v>
      </c>
      <c r="E82" s="3" t="s">
        <v>344</v>
      </c>
      <c r="F82" s="3" t="s">
        <v>345</v>
      </c>
      <c r="G82" s="14">
        <v>12453</v>
      </c>
      <c r="H82" s="14">
        <v>376</v>
      </c>
      <c r="I82" s="14">
        <v>320</v>
      </c>
      <c r="J82" s="14">
        <v>2546</v>
      </c>
      <c r="K82" s="14">
        <v>22617</v>
      </c>
      <c r="L82" s="14">
        <v>90138</v>
      </c>
      <c r="M82" s="3" t="s">
        <v>21</v>
      </c>
      <c r="N82" s="10">
        <f>SUM(Posts[[#This Row],[Likes]],Posts[[#This Row],[Shares]],Posts[[#This Row],[Comments]])/Posts[[#This Row],[Impressions]]</f>
        <v>0.14587632297144379</v>
      </c>
    </row>
    <row r="83" spans="1:14" x14ac:dyDescent="0.25">
      <c r="A83" s="3" t="s">
        <v>257</v>
      </c>
      <c r="B83" s="3" t="s">
        <v>16</v>
      </c>
      <c r="C83" s="6">
        <v>45776</v>
      </c>
      <c r="D83" s="3" t="s">
        <v>29</v>
      </c>
      <c r="E83" s="3" t="s">
        <v>354</v>
      </c>
      <c r="F83" s="3" t="s">
        <v>355</v>
      </c>
      <c r="G83" s="14">
        <v>16277</v>
      </c>
      <c r="H83" s="14">
        <v>1109</v>
      </c>
      <c r="I83" s="14">
        <v>375</v>
      </c>
      <c r="J83" s="14">
        <v>2225</v>
      </c>
      <c r="K83" s="14">
        <v>1044</v>
      </c>
      <c r="L83" s="14">
        <v>121889</v>
      </c>
      <c r="M83" s="3" t="s">
        <v>24</v>
      </c>
      <c r="N83" s="10">
        <f>SUM(Posts[[#This Row],[Likes]],Posts[[#This Row],[Shares]],Posts[[#This Row],[Comments]])/Posts[[#This Row],[Impressions]]</f>
        <v>0.14571454356012437</v>
      </c>
    </row>
    <row r="84" spans="1:14" x14ac:dyDescent="0.25">
      <c r="A84" s="3" t="s">
        <v>249</v>
      </c>
      <c r="B84" s="3" t="s">
        <v>16</v>
      </c>
      <c r="C84" s="6">
        <v>45907</v>
      </c>
      <c r="D84" s="3" t="s">
        <v>20</v>
      </c>
      <c r="E84" s="3" t="s">
        <v>360</v>
      </c>
      <c r="F84" s="3" t="s">
        <v>361</v>
      </c>
      <c r="G84" s="14">
        <v>4472</v>
      </c>
      <c r="H84" s="14">
        <v>1301</v>
      </c>
      <c r="I84" s="14">
        <v>956</v>
      </c>
      <c r="J84" s="14">
        <v>1186</v>
      </c>
      <c r="K84" s="14">
        <v>3363</v>
      </c>
      <c r="L84" s="14">
        <v>46471</v>
      </c>
      <c r="M84" s="3" t="s">
        <v>17</v>
      </c>
      <c r="N84" s="10">
        <f>SUM(Posts[[#This Row],[Likes]],Posts[[#This Row],[Shares]],Posts[[#This Row],[Comments]])/Posts[[#This Row],[Impressions]]</f>
        <v>0.14479998278496267</v>
      </c>
    </row>
    <row r="85" spans="1:14" x14ac:dyDescent="0.25">
      <c r="A85" s="3" t="s">
        <v>92</v>
      </c>
      <c r="B85" s="3" t="s">
        <v>16</v>
      </c>
      <c r="C85" s="6">
        <v>45745</v>
      </c>
      <c r="D85" s="3" t="s">
        <v>23</v>
      </c>
      <c r="E85" s="3" t="s">
        <v>354</v>
      </c>
      <c r="F85" s="3" t="s">
        <v>355</v>
      </c>
      <c r="G85" s="14">
        <v>19461</v>
      </c>
      <c r="H85" s="14">
        <v>1382</v>
      </c>
      <c r="I85" s="14">
        <v>445</v>
      </c>
      <c r="J85" s="14">
        <v>1307</v>
      </c>
      <c r="K85" s="14">
        <v>84691</v>
      </c>
      <c r="L85" s="14">
        <v>151453</v>
      </c>
      <c r="M85" s="3" t="s">
        <v>24</v>
      </c>
      <c r="N85" s="10">
        <f>SUM(Posts[[#This Row],[Likes]],Posts[[#This Row],[Shares]],Posts[[#This Row],[Comments]])/Posts[[#This Row],[Impressions]]</f>
        <v>0.14055845707909384</v>
      </c>
    </row>
    <row r="86" spans="1:14" x14ac:dyDescent="0.25">
      <c r="A86" s="3" t="s">
        <v>228</v>
      </c>
      <c r="B86" s="3" t="s">
        <v>12</v>
      </c>
      <c r="C86" s="6">
        <v>45617</v>
      </c>
      <c r="D86" s="3" t="s">
        <v>13</v>
      </c>
      <c r="E86" s="3" t="s">
        <v>354</v>
      </c>
      <c r="F86" s="3" t="s">
        <v>355</v>
      </c>
      <c r="G86" s="14">
        <v>8229</v>
      </c>
      <c r="H86" s="14">
        <v>977</v>
      </c>
      <c r="I86" s="14">
        <v>152</v>
      </c>
      <c r="J86" s="14">
        <v>1633</v>
      </c>
      <c r="K86" s="14">
        <v>71447</v>
      </c>
      <c r="L86" s="14">
        <v>67723</v>
      </c>
      <c r="M86" s="3" t="s">
        <v>37</v>
      </c>
      <c r="N86" s="10">
        <f>SUM(Posts[[#This Row],[Likes]],Posts[[#This Row],[Shares]],Posts[[#This Row],[Comments]])/Posts[[#This Row],[Impressions]]</f>
        <v>0.13818052950991538</v>
      </c>
    </row>
    <row r="87" spans="1:14" x14ac:dyDescent="0.25">
      <c r="A87" s="3" t="s">
        <v>209</v>
      </c>
      <c r="B87" s="3" t="s">
        <v>12</v>
      </c>
      <c r="C87" s="6">
        <v>45943</v>
      </c>
      <c r="D87" s="3" t="s">
        <v>23</v>
      </c>
      <c r="E87" s="3" t="s">
        <v>350</v>
      </c>
      <c r="F87" s="3" t="s">
        <v>358</v>
      </c>
      <c r="G87" s="14">
        <v>19302</v>
      </c>
      <c r="H87" s="14">
        <v>1367</v>
      </c>
      <c r="I87" s="14">
        <v>188</v>
      </c>
      <c r="J87" s="14">
        <v>637</v>
      </c>
      <c r="K87" s="14">
        <v>31404</v>
      </c>
      <c r="L87" s="14">
        <v>154044</v>
      </c>
      <c r="M87" s="3" t="s">
        <v>17</v>
      </c>
      <c r="N87" s="10">
        <f>SUM(Posts[[#This Row],[Likes]],Posts[[#This Row],[Shares]],Posts[[#This Row],[Comments]])/Posts[[#This Row],[Impressions]]</f>
        <v>0.13539638025499209</v>
      </c>
    </row>
    <row r="88" spans="1:14" x14ac:dyDescent="0.25">
      <c r="A88" s="3" t="s">
        <v>113</v>
      </c>
      <c r="B88" s="3" t="s">
        <v>19</v>
      </c>
      <c r="C88" s="6">
        <v>45480</v>
      </c>
      <c r="D88" s="3" t="s">
        <v>20</v>
      </c>
      <c r="E88" s="3" t="s">
        <v>346</v>
      </c>
      <c r="F88" s="3" t="s">
        <v>347</v>
      </c>
      <c r="G88" s="14">
        <v>24625</v>
      </c>
      <c r="H88" s="14">
        <v>749</v>
      </c>
      <c r="I88" s="14">
        <v>193</v>
      </c>
      <c r="J88" s="14">
        <v>1340</v>
      </c>
      <c r="K88" s="14">
        <v>4890</v>
      </c>
      <c r="L88" s="14">
        <v>189381</v>
      </c>
      <c r="M88" s="3" t="s">
        <v>14</v>
      </c>
      <c r="N88" s="10">
        <f>SUM(Posts[[#This Row],[Likes]],Posts[[#This Row],[Shares]],Posts[[#This Row],[Comments]])/Posts[[#This Row],[Impressions]]</f>
        <v>0.13500298340382616</v>
      </c>
    </row>
    <row r="89" spans="1:14" x14ac:dyDescent="0.25">
      <c r="A89" s="3" t="s">
        <v>64</v>
      </c>
      <c r="B89" s="3" t="s">
        <v>19</v>
      </c>
      <c r="C89" s="6">
        <v>45913</v>
      </c>
      <c r="D89" s="3" t="s">
        <v>29</v>
      </c>
      <c r="E89" s="3" t="s">
        <v>352</v>
      </c>
      <c r="F89" s="3" t="s">
        <v>353</v>
      </c>
      <c r="G89" s="14">
        <v>17106</v>
      </c>
      <c r="H89" s="14">
        <v>702</v>
      </c>
      <c r="I89" s="14">
        <v>459</v>
      </c>
      <c r="J89" s="14">
        <v>999</v>
      </c>
      <c r="K89" s="14">
        <v>59627</v>
      </c>
      <c r="L89" s="14">
        <v>136059</v>
      </c>
      <c r="M89" s="3" t="s">
        <v>17</v>
      </c>
      <c r="N89" s="10">
        <f>SUM(Posts[[#This Row],[Likes]],Posts[[#This Row],[Shares]],Posts[[#This Row],[Comments]])/Posts[[#This Row],[Impressions]]</f>
        <v>0.13425793222058077</v>
      </c>
    </row>
    <row r="90" spans="1:14" x14ac:dyDescent="0.25">
      <c r="A90" s="3" t="s">
        <v>193</v>
      </c>
      <c r="B90" s="3" t="s">
        <v>12</v>
      </c>
      <c r="C90" s="6">
        <v>45608</v>
      </c>
      <c r="D90" s="3" t="s">
        <v>13</v>
      </c>
      <c r="E90" s="3" t="s">
        <v>346</v>
      </c>
      <c r="F90" s="3" t="s">
        <v>347</v>
      </c>
      <c r="G90" s="14">
        <v>19022</v>
      </c>
      <c r="H90" s="14">
        <v>541</v>
      </c>
      <c r="I90" s="14">
        <v>575</v>
      </c>
      <c r="J90" s="14">
        <v>2063</v>
      </c>
      <c r="K90" s="14">
        <v>42743</v>
      </c>
      <c r="L90" s="14">
        <v>150169</v>
      </c>
      <c r="M90" s="3" t="s">
        <v>14</v>
      </c>
      <c r="N90" s="10">
        <f>SUM(Posts[[#This Row],[Likes]],Posts[[#This Row],[Shares]],Posts[[#This Row],[Comments]])/Posts[[#This Row],[Impressions]]</f>
        <v>0.13410224480418728</v>
      </c>
    </row>
    <row r="91" spans="1:14" x14ac:dyDescent="0.25">
      <c r="A91" s="3" t="s">
        <v>85</v>
      </c>
      <c r="B91" s="3" t="s">
        <v>19</v>
      </c>
      <c r="C91" s="6">
        <v>45685</v>
      </c>
      <c r="D91" s="3" t="s">
        <v>20</v>
      </c>
      <c r="E91" s="3" t="s">
        <v>354</v>
      </c>
      <c r="F91" s="3" t="s">
        <v>355</v>
      </c>
      <c r="G91" s="14">
        <v>9239</v>
      </c>
      <c r="H91" s="14">
        <v>1477</v>
      </c>
      <c r="I91" s="14">
        <v>631</v>
      </c>
      <c r="J91" s="14">
        <v>1556</v>
      </c>
      <c r="K91" s="14">
        <v>11580</v>
      </c>
      <c r="L91" s="14">
        <v>84738</v>
      </c>
      <c r="M91" s="3" t="s">
        <v>21</v>
      </c>
      <c r="N91" s="10">
        <f>SUM(Posts[[#This Row],[Likes]],Posts[[#This Row],[Shares]],Posts[[#This Row],[Comments]])/Posts[[#This Row],[Impressions]]</f>
        <v>0.13390686586891359</v>
      </c>
    </row>
    <row r="92" spans="1:14" x14ac:dyDescent="0.25">
      <c r="A92" s="3" t="s">
        <v>172</v>
      </c>
      <c r="B92" s="3" t="s">
        <v>12</v>
      </c>
      <c r="C92" s="6">
        <v>45586</v>
      </c>
      <c r="D92" s="3" t="s">
        <v>20</v>
      </c>
      <c r="E92" s="3" t="s">
        <v>356</v>
      </c>
      <c r="F92" s="3" t="s">
        <v>357</v>
      </c>
      <c r="G92" s="14">
        <v>20777</v>
      </c>
      <c r="H92" s="14">
        <v>962</v>
      </c>
      <c r="I92" s="14">
        <v>308</v>
      </c>
      <c r="J92" s="14">
        <v>2777</v>
      </c>
      <c r="K92" s="14">
        <v>25529</v>
      </c>
      <c r="L92" s="14">
        <v>165354</v>
      </c>
      <c r="M92" s="3" t="s">
        <v>14</v>
      </c>
      <c r="N92" s="10">
        <f>SUM(Posts[[#This Row],[Likes]],Posts[[#This Row],[Shares]],Posts[[#This Row],[Comments]])/Posts[[#This Row],[Impressions]]</f>
        <v>0.13333212380710477</v>
      </c>
    </row>
    <row r="93" spans="1:14" x14ac:dyDescent="0.25">
      <c r="A93" s="3" t="s">
        <v>97</v>
      </c>
      <c r="B93" s="3" t="s">
        <v>33</v>
      </c>
      <c r="C93" s="6">
        <v>45719</v>
      </c>
      <c r="D93" s="3" t="s">
        <v>29</v>
      </c>
      <c r="E93" s="3" t="s">
        <v>350</v>
      </c>
      <c r="F93" s="3" t="s">
        <v>358</v>
      </c>
      <c r="G93" s="14">
        <v>24928</v>
      </c>
      <c r="H93" s="14">
        <v>214</v>
      </c>
      <c r="I93" s="14">
        <v>765</v>
      </c>
      <c r="J93" s="14">
        <v>1556</v>
      </c>
      <c r="K93" s="14">
        <v>5239</v>
      </c>
      <c r="L93" s="14">
        <v>194571</v>
      </c>
      <c r="M93" s="3" t="s">
        <v>37</v>
      </c>
      <c r="N93" s="10">
        <f>SUM(Posts[[#This Row],[Likes]],Posts[[#This Row],[Shares]],Posts[[#This Row],[Comments]])/Posts[[#This Row],[Impressions]]</f>
        <v>0.13314933880177415</v>
      </c>
    </row>
    <row r="94" spans="1:14" x14ac:dyDescent="0.25">
      <c r="A94" s="3" t="s">
        <v>290</v>
      </c>
      <c r="B94" s="3" t="s">
        <v>12</v>
      </c>
      <c r="C94" s="6">
        <v>45708</v>
      </c>
      <c r="D94" s="3" t="s">
        <v>29</v>
      </c>
      <c r="E94" s="3" t="s">
        <v>356</v>
      </c>
      <c r="F94" s="3" t="s">
        <v>357</v>
      </c>
      <c r="G94" s="14">
        <v>15703</v>
      </c>
      <c r="H94" s="14">
        <v>1381</v>
      </c>
      <c r="I94" s="14">
        <v>639</v>
      </c>
      <c r="J94" s="14">
        <v>984</v>
      </c>
      <c r="K94" s="14">
        <v>10967</v>
      </c>
      <c r="L94" s="14">
        <v>133747</v>
      </c>
      <c r="M94" s="3" t="s">
        <v>37</v>
      </c>
      <c r="N94" s="10">
        <f>SUM(Posts[[#This Row],[Likes]],Posts[[#This Row],[Shares]],Posts[[#This Row],[Comments]])/Posts[[#This Row],[Impressions]]</f>
        <v>0.13251138343289942</v>
      </c>
    </row>
    <row r="95" spans="1:14" x14ac:dyDescent="0.25">
      <c r="A95" s="3" t="s">
        <v>28</v>
      </c>
      <c r="B95" s="3" t="s">
        <v>19</v>
      </c>
      <c r="C95" s="6">
        <v>45467</v>
      </c>
      <c r="D95" s="3" t="s">
        <v>29</v>
      </c>
      <c r="E95" s="3" t="s">
        <v>352</v>
      </c>
      <c r="F95" s="3" t="s">
        <v>353</v>
      </c>
      <c r="G95" s="14">
        <v>7713</v>
      </c>
      <c r="H95" s="14">
        <v>575</v>
      </c>
      <c r="I95" s="14">
        <v>417</v>
      </c>
      <c r="J95" s="14">
        <v>336</v>
      </c>
      <c r="K95" s="14">
        <v>61660</v>
      </c>
      <c r="L95" s="14">
        <v>66017</v>
      </c>
      <c r="M95" s="3" t="s">
        <v>24</v>
      </c>
      <c r="N95" s="10">
        <f>SUM(Posts[[#This Row],[Likes]],Posts[[#This Row],[Shares]],Posts[[#This Row],[Comments]])/Posts[[#This Row],[Impressions]]</f>
        <v>0.13185997546086614</v>
      </c>
    </row>
    <row r="96" spans="1:14" x14ac:dyDescent="0.25">
      <c r="A96" s="3" t="s">
        <v>125</v>
      </c>
      <c r="B96" s="3" t="s">
        <v>19</v>
      </c>
      <c r="C96" s="6">
        <v>45925</v>
      </c>
      <c r="D96" s="3" t="s">
        <v>13</v>
      </c>
      <c r="E96" s="3" t="s">
        <v>27</v>
      </c>
      <c r="F96" s="3"/>
      <c r="G96" s="14">
        <v>20564</v>
      </c>
      <c r="H96" s="14">
        <v>1433</v>
      </c>
      <c r="I96" s="14">
        <v>488</v>
      </c>
      <c r="J96" s="14">
        <v>1015</v>
      </c>
      <c r="K96" s="14">
        <v>24333</v>
      </c>
      <c r="L96" s="14">
        <v>172130</v>
      </c>
      <c r="M96" s="3" t="s">
        <v>17</v>
      </c>
      <c r="N96" s="10">
        <f>SUM(Posts[[#This Row],[Likes]],Posts[[#This Row],[Shares]],Posts[[#This Row],[Comments]])/Posts[[#This Row],[Impressions]]</f>
        <v>0.13062801371056759</v>
      </c>
    </row>
    <row r="97" spans="1:14" x14ac:dyDescent="0.25">
      <c r="A97" s="3" t="s">
        <v>319</v>
      </c>
      <c r="B97" s="3" t="s">
        <v>33</v>
      </c>
      <c r="C97" s="6">
        <v>45462</v>
      </c>
      <c r="D97" s="3" t="s">
        <v>29</v>
      </c>
      <c r="E97" s="3" t="s">
        <v>359</v>
      </c>
      <c r="F97" s="3" t="s">
        <v>27</v>
      </c>
      <c r="G97" s="14">
        <v>20444</v>
      </c>
      <c r="H97" s="14">
        <v>233</v>
      </c>
      <c r="I97" s="14">
        <v>189</v>
      </c>
      <c r="J97" s="14">
        <v>2879</v>
      </c>
      <c r="K97" s="14">
        <v>28185</v>
      </c>
      <c r="L97" s="14">
        <v>159891</v>
      </c>
      <c r="M97" s="3" t="s">
        <v>24</v>
      </c>
      <c r="N97" s="10">
        <f>SUM(Posts[[#This Row],[Likes]],Posts[[#This Row],[Shares]],Posts[[#This Row],[Comments]])/Posts[[#This Row],[Impressions]]</f>
        <v>0.13050140408153055</v>
      </c>
    </row>
    <row r="98" spans="1:14" x14ac:dyDescent="0.25">
      <c r="A98" s="3" t="s">
        <v>11</v>
      </c>
      <c r="B98" s="3" t="s">
        <v>12</v>
      </c>
      <c r="C98" s="6">
        <v>45649</v>
      </c>
      <c r="D98" s="3" t="s">
        <v>13</v>
      </c>
      <c r="E98" s="3" t="s">
        <v>344</v>
      </c>
      <c r="F98" s="3" t="s">
        <v>345</v>
      </c>
      <c r="G98" s="14">
        <v>24516</v>
      </c>
      <c r="H98" s="14">
        <v>976</v>
      </c>
      <c r="I98" s="14">
        <v>974</v>
      </c>
      <c r="J98" s="14">
        <v>2675</v>
      </c>
      <c r="K98" s="14">
        <v>23275</v>
      </c>
      <c r="L98" s="14">
        <v>202932</v>
      </c>
      <c r="M98" s="3" t="s">
        <v>14</v>
      </c>
      <c r="N98" s="10">
        <f>SUM(Posts[[#This Row],[Likes]],Posts[[#This Row],[Shares]],Posts[[#This Row],[Comments]])/Posts[[#This Row],[Impressions]]</f>
        <v>0.13041807107799658</v>
      </c>
    </row>
    <row r="99" spans="1:14" x14ac:dyDescent="0.25">
      <c r="A99" s="3" t="s">
        <v>109</v>
      </c>
      <c r="B99" s="3" t="s">
        <v>16</v>
      </c>
      <c r="C99" s="6">
        <v>45635</v>
      </c>
      <c r="D99" s="3" t="s">
        <v>13</v>
      </c>
      <c r="E99" s="3" t="s">
        <v>346</v>
      </c>
      <c r="F99" s="3" t="s">
        <v>347</v>
      </c>
      <c r="G99" s="14">
        <v>15051</v>
      </c>
      <c r="H99" s="14">
        <v>268</v>
      </c>
      <c r="I99" s="14">
        <v>251</v>
      </c>
      <c r="J99" s="14">
        <v>783</v>
      </c>
      <c r="K99" s="14">
        <v>34154</v>
      </c>
      <c r="L99" s="14">
        <v>119671</v>
      </c>
      <c r="M99" s="3" t="s">
        <v>24</v>
      </c>
      <c r="N99" s="10">
        <f>SUM(Posts[[#This Row],[Likes]],Posts[[#This Row],[Shares]],Posts[[#This Row],[Comments]])/Posts[[#This Row],[Impressions]]</f>
        <v>0.13010670922779954</v>
      </c>
    </row>
    <row r="100" spans="1:14" x14ac:dyDescent="0.25">
      <c r="A100" s="3" t="s">
        <v>78</v>
      </c>
      <c r="B100" s="3" t="s">
        <v>12</v>
      </c>
      <c r="C100" s="6">
        <v>45712</v>
      </c>
      <c r="D100" s="3" t="s">
        <v>13</v>
      </c>
      <c r="E100" s="3" t="s">
        <v>350</v>
      </c>
      <c r="F100" s="3" t="s">
        <v>358</v>
      </c>
      <c r="G100" s="14">
        <v>23949</v>
      </c>
      <c r="H100" s="14">
        <v>356</v>
      </c>
      <c r="I100" s="14">
        <v>616</v>
      </c>
      <c r="J100" s="14">
        <v>1847</v>
      </c>
      <c r="K100" s="14">
        <v>3144</v>
      </c>
      <c r="L100" s="14">
        <v>192999</v>
      </c>
      <c r="M100" s="3" t="s">
        <v>24</v>
      </c>
      <c r="N100" s="10">
        <f>SUM(Posts[[#This Row],[Likes]],Posts[[#This Row],[Shares]],Posts[[#This Row],[Comments]])/Posts[[#This Row],[Impressions]]</f>
        <v>0.12912502137316773</v>
      </c>
    </row>
    <row r="101" spans="1:14" x14ac:dyDescent="0.25">
      <c r="A101" s="3" t="s">
        <v>163</v>
      </c>
      <c r="B101" s="3" t="s">
        <v>19</v>
      </c>
      <c r="C101" s="6">
        <v>45745</v>
      </c>
      <c r="D101" s="3" t="s">
        <v>29</v>
      </c>
      <c r="E101" s="3" t="s">
        <v>348</v>
      </c>
      <c r="F101" s="3" t="s">
        <v>349</v>
      </c>
      <c r="G101" s="14">
        <v>23508</v>
      </c>
      <c r="H101" s="14">
        <v>585</v>
      </c>
      <c r="I101" s="14">
        <v>743</v>
      </c>
      <c r="J101" s="14">
        <v>2155</v>
      </c>
      <c r="K101" s="14">
        <v>3704</v>
      </c>
      <c r="L101" s="14">
        <v>194268</v>
      </c>
      <c r="M101" s="3" t="s">
        <v>24</v>
      </c>
      <c r="N101" s="10">
        <f>SUM(Posts[[#This Row],[Likes]],Posts[[#This Row],[Shares]],Posts[[#This Row],[Comments]])/Posts[[#This Row],[Impressions]]</f>
        <v>0.1278440093067309</v>
      </c>
    </row>
    <row r="102" spans="1:14" x14ac:dyDescent="0.25">
      <c r="A102" s="3" t="s">
        <v>219</v>
      </c>
      <c r="B102" s="3" t="s">
        <v>12</v>
      </c>
      <c r="C102" s="6">
        <v>45567</v>
      </c>
      <c r="D102" s="3" t="s">
        <v>23</v>
      </c>
      <c r="E102" s="3" t="s">
        <v>352</v>
      </c>
      <c r="F102" s="3" t="s">
        <v>353</v>
      </c>
      <c r="G102" s="14">
        <v>5086</v>
      </c>
      <c r="H102" s="14">
        <v>1336</v>
      </c>
      <c r="I102" s="14">
        <v>897</v>
      </c>
      <c r="J102" s="14">
        <v>1715</v>
      </c>
      <c r="K102" s="14">
        <v>60592</v>
      </c>
      <c r="L102" s="14">
        <v>57772</v>
      </c>
      <c r="M102" s="3" t="s">
        <v>21</v>
      </c>
      <c r="N102" s="10">
        <f>SUM(Posts[[#This Row],[Likes]],Posts[[#This Row],[Shares]],Posts[[#This Row],[Comments]])/Posts[[#This Row],[Impressions]]</f>
        <v>0.12668766876687668</v>
      </c>
    </row>
    <row r="103" spans="1:14" x14ac:dyDescent="0.25">
      <c r="A103" s="3" t="s">
        <v>160</v>
      </c>
      <c r="B103" s="3" t="s">
        <v>12</v>
      </c>
      <c r="C103" s="6">
        <v>45624</v>
      </c>
      <c r="D103" s="3" t="s">
        <v>29</v>
      </c>
      <c r="E103" s="3" t="s">
        <v>356</v>
      </c>
      <c r="F103" s="3" t="s">
        <v>357</v>
      </c>
      <c r="G103" s="14">
        <v>19055</v>
      </c>
      <c r="H103" s="14">
        <v>443</v>
      </c>
      <c r="I103" s="14">
        <v>976</v>
      </c>
      <c r="J103" s="14">
        <v>869</v>
      </c>
      <c r="K103" s="14">
        <v>75437</v>
      </c>
      <c r="L103" s="14">
        <v>161863</v>
      </c>
      <c r="M103" s="3" t="s">
        <v>21</v>
      </c>
      <c r="N103" s="10">
        <f>SUM(Posts[[#This Row],[Likes]],Posts[[#This Row],[Shares]],Posts[[#This Row],[Comments]])/Posts[[#This Row],[Impressions]]</f>
        <v>0.12648968572187591</v>
      </c>
    </row>
    <row r="104" spans="1:14" x14ac:dyDescent="0.25">
      <c r="A104" s="3" t="s">
        <v>230</v>
      </c>
      <c r="B104" s="3" t="s">
        <v>16</v>
      </c>
      <c r="C104" s="6">
        <v>45923</v>
      </c>
      <c r="D104" s="3" t="s">
        <v>20</v>
      </c>
      <c r="E104" s="3" t="s">
        <v>350</v>
      </c>
      <c r="F104" s="3" t="s">
        <v>358</v>
      </c>
      <c r="G104" s="14">
        <v>17147</v>
      </c>
      <c r="H104" s="14">
        <v>286</v>
      </c>
      <c r="I104" s="14">
        <v>291</v>
      </c>
      <c r="J104" s="14">
        <v>2439</v>
      </c>
      <c r="K104" s="14">
        <v>45631</v>
      </c>
      <c r="L104" s="14">
        <v>140494</v>
      </c>
      <c r="M104" s="3" t="s">
        <v>17</v>
      </c>
      <c r="N104" s="10">
        <f>SUM(Posts[[#This Row],[Likes]],Posts[[#This Row],[Shares]],Posts[[#This Row],[Comments]])/Posts[[#This Row],[Impressions]]</f>
        <v>0.12615485358805359</v>
      </c>
    </row>
    <row r="105" spans="1:14" x14ac:dyDescent="0.25">
      <c r="A105" s="3" t="s">
        <v>48</v>
      </c>
      <c r="B105" s="3" t="s">
        <v>16</v>
      </c>
      <c r="C105" s="6">
        <v>45680</v>
      </c>
      <c r="D105" s="3" t="s">
        <v>23</v>
      </c>
      <c r="E105" s="3" t="s">
        <v>356</v>
      </c>
      <c r="F105" s="3" t="s">
        <v>357</v>
      </c>
      <c r="G105" s="14">
        <v>23168</v>
      </c>
      <c r="H105" s="14">
        <v>1265</v>
      </c>
      <c r="I105" s="14">
        <v>441</v>
      </c>
      <c r="J105" s="14">
        <v>1612</v>
      </c>
      <c r="K105" s="14">
        <v>66615</v>
      </c>
      <c r="L105" s="14">
        <v>197795</v>
      </c>
      <c r="M105" s="3" t="s">
        <v>24</v>
      </c>
      <c r="N105" s="10">
        <f>SUM(Posts[[#This Row],[Likes]],Posts[[#This Row],[Shares]],Posts[[#This Row],[Comments]])/Posts[[#This Row],[Impressions]]</f>
        <v>0.12575646502692181</v>
      </c>
    </row>
    <row r="106" spans="1:14" x14ac:dyDescent="0.25">
      <c r="A106" s="3" t="s">
        <v>296</v>
      </c>
      <c r="B106" s="3" t="s">
        <v>33</v>
      </c>
      <c r="C106" s="6">
        <v>45582</v>
      </c>
      <c r="D106" s="3" t="s">
        <v>23</v>
      </c>
      <c r="E106" s="3" t="s">
        <v>348</v>
      </c>
      <c r="F106" s="3" t="s">
        <v>349</v>
      </c>
      <c r="G106" s="14">
        <v>18608</v>
      </c>
      <c r="H106" s="14">
        <v>1338</v>
      </c>
      <c r="I106" s="14">
        <v>365</v>
      </c>
      <c r="J106" s="14">
        <v>2289</v>
      </c>
      <c r="K106" s="14">
        <v>20785</v>
      </c>
      <c r="L106" s="14">
        <v>161999</v>
      </c>
      <c r="M106" s="3" t="s">
        <v>14</v>
      </c>
      <c r="N106" s="10">
        <f>SUM(Posts[[#This Row],[Likes]],Posts[[#This Row],[Shares]],Posts[[#This Row],[Comments]])/Posts[[#This Row],[Impressions]]</f>
        <v>0.12537731714393299</v>
      </c>
    </row>
    <row r="107" spans="1:14" x14ac:dyDescent="0.25">
      <c r="A107" s="3" t="s">
        <v>156</v>
      </c>
      <c r="B107" s="3" t="s">
        <v>16</v>
      </c>
      <c r="C107" s="6">
        <v>45586</v>
      </c>
      <c r="D107" s="3" t="s">
        <v>13</v>
      </c>
      <c r="E107" s="3" t="s">
        <v>356</v>
      </c>
      <c r="F107" s="3" t="s">
        <v>357</v>
      </c>
      <c r="G107" s="14">
        <v>20271</v>
      </c>
      <c r="H107" s="14">
        <v>512</v>
      </c>
      <c r="I107" s="14">
        <v>286</v>
      </c>
      <c r="J107" s="14">
        <v>1982</v>
      </c>
      <c r="K107" s="14">
        <v>43225</v>
      </c>
      <c r="L107" s="14">
        <v>168335</v>
      </c>
      <c r="M107" s="3" t="s">
        <v>24</v>
      </c>
      <c r="N107" s="10">
        <f>SUM(Posts[[#This Row],[Likes]],Posts[[#This Row],[Shares]],Posts[[#This Row],[Comments]])/Posts[[#This Row],[Impressions]]</f>
        <v>0.12516113701844536</v>
      </c>
    </row>
    <row r="108" spans="1:14" x14ac:dyDescent="0.25">
      <c r="A108" s="3" t="s">
        <v>61</v>
      </c>
      <c r="B108" s="3" t="s">
        <v>19</v>
      </c>
      <c r="C108" s="6">
        <v>45766</v>
      </c>
      <c r="D108" s="3" t="s">
        <v>29</v>
      </c>
      <c r="E108" s="3" t="s">
        <v>54</v>
      </c>
      <c r="F108" s="3"/>
      <c r="G108" s="14">
        <v>20384</v>
      </c>
      <c r="H108" s="14">
        <v>344</v>
      </c>
      <c r="I108" s="14">
        <v>956</v>
      </c>
      <c r="J108" s="14">
        <v>655</v>
      </c>
      <c r="K108" s="14">
        <v>67621</v>
      </c>
      <c r="L108" s="14">
        <v>175720</v>
      </c>
      <c r="M108" s="3" t="s">
        <v>21</v>
      </c>
      <c r="N108" s="10">
        <f>SUM(Posts[[#This Row],[Likes]],Posts[[#This Row],[Shares]],Posts[[#This Row],[Comments]])/Posts[[#This Row],[Impressions]]</f>
        <v>0.12340086501251991</v>
      </c>
    </row>
    <row r="109" spans="1:14" x14ac:dyDescent="0.25">
      <c r="A109" s="3" t="s">
        <v>169</v>
      </c>
      <c r="B109" s="3" t="s">
        <v>16</v>
      </c>
      <c r="C109" s="6">
        <v>45593</v>
      </c>
      <c r="D109" s="3" t="s">
        <v>29</v>
      </c>
      <c r="E109" s="3" t="s">
        <v>359</v>
      </c>
      <c r="F109" s="3" t="s">
        <v>27</v>
      </c>
      <c r="G109" s="14">
        <v>8981</v>
      </c>
      <c r="H109" s="14">
        <v>1138</v>
      </c>
      <c r="I109" s="14">
        <v>764</v>
      </c>
      <c r="J109" s="14">
        <v>2555</v>
      </c>
      <c r="K109" s="14">
        <v>92810</v>
      </c>
      <c r="L109" s="14">
        <v>88320</v>
      </c>
      <c r="M109" s="3" t="s">
        <v>37</v>
      </c>
      <c r="N109" s="10">
        <f>SUM(Posts[[#This Row],[Likes]],Posts[[#This Row],[Shares]],Posts[[#This Row],[Comments]])/Posts[[#This Row],[Impressions]]</f>
        <v>0.1232223731884058</v>
      </c>
    </row>
    <row r="110" spans="1:14" x14ac:dyDescent="0.25">
      <c r="A110" s="3" t="s">
        <v>182</v>
      </c>
      <c r="B110" s="3" t="s">
        <v>12</v>
      </c>
      <c r="C110" s="6">
        <v>45496</v>
      </c>
      <c r="D110" s="3" t="s">
        <v>23</v>
      </c>
      <c r="E110" s="3" t="s">
        <v>359</v>
      </c>
      <c r="F110" s="3" t="s">
        <v>27</v>
      </c>
      <c r="G110" s="14">
        <v>24877</v>
      </c>
      <c r="H110" s="14">
        <v>262</v>
      </c>
      <c r="I110" s="14">
        <v>513</v>
      </c>
      <c r="J110" s="14">
        <v>648</v>
      </c>
      <c r="K110" s="14">
        <v>47544</v>
      </c>
      <c r="L110" s="14">
        <v>208280</v>
      </c>
      <c r="M110" s="3" t="s">
        <v>21</v>
      </c>
      <c r="N110" s="10">
        <f>SUM(Posts[[#This Row],[Likes]],Posts[[#This Row],[Shares]],Posts[[#This Row],[Comments]])/Posts[[#This Row],[Impressions]]</f>
        <v>0.12316112924908777</v>
      </c>
    </row>
    <row r="111" spans="1:14" x14ac:dyDescent="0.25">
      <c r="A111" s="3" t="s">
        <v>134</v>
      </c>
      <c r="B111" s="3" t="s">
        <v>33</v>
      </c>
      <c r="C111" s="6">
        <v>45512</v>
      </c>
      <c r="D111" s="3" t="s">
        <v>29</v>
      </c>
      <c r="E111" s="3" t="s">
        <v>354</v>
      </c>
      <c r="F111" s="3" t="s">
        <v>355</v>
      </c>
      <c r="G111" s="14">
        <v>24355</v>
      </c>
      <c r="H111" s="14">
        <v>1087</v>
      </c>
      <c r="I111" s="14">
        <v>686</v>
      </c>
      <c r="J111" s="14">
        <v>2426</v>
      </c>
      <c r="K111" s="14">
        <v>24963</v>
      </c>
      <c r="L111" s="14">
        <v>212307</v>
      </c>
      <c r="M111" s="3" t="s">
        <v>14</v>
      </c>
      <c r="N111" s="10">
        <f>SUM(Posts[[#This Row],[Likes]],Posts[[#This Row],[Shares]],Posts[[#This Row],[Comments]])/Posts[[#This Row],[Impressions]]</f>
        <v>0.1230670679723231</v>
      </c>
    </row>
    <row r="112" spans="1:14" x14ac:dyDescent="0.25">
      <c r="A112" s="3" t="s">
        <v>242</v>
      </c>
      <c r="B112" s="3" t="s">
        <v>16</v>
      </c>
      <c r="C112" s="6">
        <v>45926</v>
      </c>
      <c r="D112" s="3" t="s">
        <v>29</v>
      </c>
      <c r="E112" s="3" t="s">
        <v>344</v>
      </c>
      <c r="F112" s="3" t="s">
        <v>345</v>
      </c>
      <c r="G112" s="14">
        <v>16369</v>
      </c>
      <c r="H112" s="14">
        <v>1452</v>
      </c>
      <c r="I112" s="14">
        <v>493</v>
      </c>
      <c r="J112" s="14">
        <v>1217</v>
      </c>
      <c r="K112" s="14">
        <v>91440</v>
      </c>
      <c r="L112" s="14">
        <v>149834</v>
      </c>
      <c r="M112" s="3" t="s">
        <v>17</v>
      </c>
      <c r="N112" s="10">
        <f>SUM(Posts[[#This Row],[Likes]],Posts[[#This Row],[Shares]],Posts[[#This Row],[Comments]])/Posts[[#This Row],[Impressions]]</f>
        <v>0.12222859965027964</v>
      </c>
    </row>
    <row r="113" spans="1:14" x14ac:dyDescent="0.25">
      <c r="A113" s="3" t="s">
        <v>91</v>
      </c>
      <c r="B113" s="3" t="s">
        <v>33</v>
      </c>
      <c r="C113" s="6">
        <v>45499</v>
      </c>
      <c r="D113" s="3" t="s">
        <v>20</v>
      </c>
      <c r="E113" s="3" t="s">
        <v>354</v>
      </c>
      <c r="F113" s="3" t="s">
        <v>355</v>
      </c>
      <c r="G113" s="14">
        <v>12176</v>
      </c>
      <c r="H113" s="14">
        <v>1005</v>
      </c>
      <c r="I113" s="14">
        <v>862</v>
      </c>
      <c r="J113" s="14">
        <v>974</v>
      </c>
      <c r="K113" s="14">
        <v>2285</v>
      </c>
      <c r="L113" s="14">
        <v>116619</v>
      </c>
      <c r="M113" s="3" t="s">
        <v>24</v>
      </c>
      <c r="N113" s="10">
        <f>SUM(Posts[[#This Row],[Likes]],Posts[[#This Row],[Shares]],Posts[[#This Row],[Comments]])/Posts[[#This Row],[Impressions]]</f>
        <v>0.12041777068916729</v>
      </c>
    </row>
    <row r="114" spans="1:14" x14ac:dyDescent="0.25">
      <c r="A114" s="3" t="s">
        <v>253</v>
      </c>
      <c r="B114" s="3" t="s">
        <v>33</v>
      </c>
      <c r="C114" s="6">
        <v>45474</v>
      </c>
      <c r="D114" s="3" t="s">
        <v>23</v>
      </c>
      <c r="E114" s="3" t="s">
        <v>348</v>
      </c>
      <c r="F114" s="3" t="s">
        <v>349</v>
      </c>
      <c r="G114" s="14">
        <v>3761</v>
      </c>
      <c r="H114" s="14">
        <v>651</v>
      </c>
      <c r="I114" s="14">
        <v>493</v>
      </c>
      <c r="J114" s="14">
        <v>2294</v>
      </c>
      <c r="K114" s="14">
        <v>71696</v>
      </c>
      <c r="L114" s="14">
        <v>41177</v>
      </c>
      <c r="M114" s="3" t="s">
        <v>14</v>
      </c>
      <c r="N114" s="10">
        <f>SUM(Posts[[#This Row],[Likes]],Posts[[#This Row],[Shares]],Posts[[#This Row],[Comments]])/Posts[[#This Row],[Impressions]]</f>
        <v>0.11911989702989532</v>
      </c>
    </row>
    <row r="115" spans="1:14" x14ac:dyDescent="0.25">
      <c r="A115" s="3" t="s">
        <v>259</v>
      </c>
      <c r="B115" s="3" t="s">
        <v>16</v>
      </c>
      <c r="C115" s="6">
        <v>45444</v>
      </c>
      <c r="D115" s="3" t="s">
        <v>13</v>
      </c>
      <c r="E115" s="3" t="s">
        <v>352</v>
      </c>
      <c r="F115" s="3" t="s">
        <v>353</v>
      </c>
      <c r="G115" s="14">
        <v>19844</v>
      </c>
      <c r="H115" s="14">
        <v>1022</v>
      </c>
      <c r="I115" s="14">
        <v>860</v>
      </c>
      <c r="J115" s="14">
        <v>2570</v>
      </c>
      <c r="K115" s="14">
        <v>23719</v>
      </c>
      <c r="L115" s="14">
        <v>182628</v>
      </c>
      <c r="M115" s="3" t="s">
        <v>21</v>
      </c>
      <c r="N115" s="10">
        <f>SUM(Posts[[#This Row],[Likes]],Posts[[#This Row],[Shares]],Posts[[#This Row],[Comments]])/Posts[[#This Row],[Impressions]]</f>
        <v>0.11896313818253498</v>
      </c>
    </row>
    <row r="116" spans="1:14" x14ac:dyDescent="0.25">
      <c r="A116" s="3" t="s">
        <v>132</v>
      </c>
      <c r="B116" s="3" t="s">
        <v>33</v>
      </c>
      <c r="C116" s="6">
        <v>45464</v>
      </c>
      <c r="D116" s="3" t="s">
        <v>23</v>
      </c>
      <c r="E116" s="3" t="s">
        <v>350</v>
      </c>
      <c r="F116" s="3" t="s">
        <v>351</v>
      </c>
      <c r="G116" s="14">
        <v>21216</v>
      </c>
      <c r="H116" s="14">
        <v>1207</v>
      </c>
      <c r="I116" s="14">
        <v>859</v>
      </c>
      <c r="J116" s="14">
        <v>328</v>
      </c>
      <c r="K116" s="14">
        <v>91296</v>
      </c>
      <c r="L116" s="14">
        <v>196683</v>
      </c>
      <c r="M116" s="3" t="s">
        <v>21</v>
      </c>
      <c r="N116" s="10">
        <f>SUM(Posts[[#This Row],[Likes]],Posts[[#This Row],[Shares]],Posts[[#This Row],[Comments]])/Posts[[#This Row],[Impressions]]</f>
        <v>0.1183732198512327</v>
      </c>
    </row>
    <row r="117" spans="1:14" x14ac:dyDescent="0.25">
      <c r="A117" s="3" t="s">
        <v>88</v>
      </c>
      <c r="B117" s="3" t="s">
        <v>19</v>
      </c>
      <c r="C117" s="6">
        <v>45504</v>
      </c>
      <c r="D117" s="3" t="s">
        <v>13</v>
      </c>
      <c r="E117" s="3" t="s">
        <v>344</v>
      </c>
      <c r="F117" s="3" t="s">
        <v>345</v>
      </c>
      <c r="G117" s="14">
        <v>12357</v>
      </c>
      <c r="H117" s="14">
        <v>716</v>
      </c>
      <c r="I117" s="14">
        <v>599</v>
      </c>
      <c r="J117" s="14">
        <v>999</v>
      </c>
      <c r="K117" s="14">
        <v>89591</v>
      </c>
      <c r="L117" s="14">
        <v>116367</v>
      </c>
      <c r="M117" s="3" t="s">
        <v>14</v>
      </c>
      <c r="N117" s="10">
        <f>SUM(Posts[[#This Row],[Likes]],Posts[[#This Row],[Shares]],Posts[[#This Row],[Comments]])/Posts[[#This Row],[Impressions]]</f>
        <v>0.11749035379446063</v>
      </c>
    </row>
    <row r="118" spans="1:14" x14ac:dyDescent="0.25">
      <c r="A118" s="3" t="s">
        <v>229</v>
      </c>
      <c r="B118" s="3" t="s">
        <v>19</v>
      </c>
      <c r="C118" s="6">
        <v>45922</v>
      </c>
      <c r="D118" s="3" t="s">
        <v>29</v>
      </c>
      <c r="E118" s="3" t="s">
        <v>27</v>
      </c>
      <c r="F118" s="3"/>
      <c r="G118" s="14">
        <v>18509</v>
      </c>
      <c r="H118" s="14">
        <v>361</v>
      </c>
      <c r="I118" s="14">
        <v>578</v>
      </c>
      <c r="J118" s="14">
        <v>1409</v>
      </c>
      <c r="K118" s="14">
        <v>10569</v>
      </c>
      <c r="L118" s="14">
        <v>166969</v>
      </c>
      <c r="M118" s="3" t="s">
        <v>17</v>
      </c>
      <c r="N118" s="10">
        <f>SUM(Posts[[#This Row],[Likes]],Posts[[#This Row],[Shares]],Posts[[#This Row],[Comments]])/Posts[[#This Row],[Impressions]]</f>
        <v>0.11647671124580011</v>
      </c>
    </row>
    <row r="119" spans="1:14" x14ac:dyDescent="0.25">
      <c r="A119" s="3" t="s">
        <v>275</v>
      </c>
      <c r="B119" s="3" t="s">
        <v>12</v>
      </c>
      <c r="C119" s="6">
        <v>45465</v>
      </c>
      <c r="D119" s="3" t="s">
        <v>20</v>
      </c>
      <c r="E119" s="3" t="s">
        <v>354</v>
      </c>
      <c r="F119" s="3" t="s">
        <v>355</v>
      </c>
      <c r="G119" s="14">
        <v>7342</v>
      </c>
      <c r="H119" s="14">
        <v>906</v>
      </c>
      <c r="I119" s="14">
        <v>902</v>
      </c>
      <c r="J119" s="14">
        <v>1199</v>
      </c>
      <c r="K119" s="14">
        <v>68488</v>
      </c>
      <c r="L119" s="14">
        <v>79310</v>
      </c>
      <c r="M119" s="3" t="s">
        <v>14</v>
      </c>
      <c r="N119" s="10">
        <f>SUM(Posts[[#This Row],[Likes]],Posts[[#This Row],[Shares]],Posts[[#This Row],[Comments]])/Posts[[#This Row],[Impressions]]</f>
        <v>0.1153700668263775</v>
      </c>
    </row>
    <row r="120" spans="1:14" x14ac:dyDescent="0.25">
      <c r="A120" s="3" t="s">
        <v>120</v>
      </c>
      <c r="B120" s="3" t="s">
        <v>33</v>
      </c>
      <c r="C120" s="6">
        <v>45604</v>
      </c>
      <c r="D120" s="3" t="s">
        <v>20</v>
      </c>
      <c r="E120" s="3" t="s">
        <v>350</v>
      </c>
      <c r="F120" s="3" t="s">
        <v>351</v>
      </c>
      <c r="G120" s="14">
        <v>23499</v>
      </c>
      <c r="H120" s="14">
        <v>562</v>
      </c>
      <c r="I120" s="14">
        <v>964</v>
      </c>
      <c r="J120" s="14">
        <v>2557</v>
      </c>
      <c r="K120" s="14">
        <v>56890</v>
      </c>
      <c r="L120" s="14">
        <v>218686</v>
      </c>
      <c r="M120" s="3" t="s">
        <v>24</v>
      </c>
      <c r="N120" s="10">
        <f>SUM(Posts[[#This Row],[Likes]],Posts[[#This Row],[Shares]],Posts[[#This Row],[Comments]])/Posts[[#This Row],[Impressions]]</f>
        <v>0.11443347996671026</v>
      </c>
    </row>
    <row r="121" spans="1:14" x14ac:dyDescent="0.25">
      <c r="A121" s="3" t="s">
        <v>168</v>
      </c>
      <c r="B121" s="3" t="s">
        <v>16</v>
      </c>
      <c r="C121" s="6">
        <v>45567</v>
      </c>
      <c r="D121" s="3" t="s">
        <v>13</v>
      </c>
      <c r="E121" s="3" t="s">
        <v>348</v>
      </c>
      <c r="F121" s="3" t="s">
        <v>349</v>
      </c>
      <c r="G121" s="14">
        <v>15716</v>
      </c>
      <c r="H121" s="14">
        <v>839</v>
      </c>
      <c r="I121" s="14">
        <v>639</v>
      </c>
      <c r="J121" s="14">
        <v>2839</v>
      </c>
      <c r="K121" s="14">
        <v>349</v>
      </c>
      <c r="L121" s="14">
        <v>150677</v>
      </c>
      <c r="M121" s="3" t="s">
        <v>21</v>
      </c>
      <c r="N121" s="10">
        <f>SUM(Posts[[#This Row],[Likes]],Posts[[#This Row],[Shares]],Posts[[#This Row],[Comments]])/Posts[[#This Row],[Impressions]]</f>
        <v>0.11411164278556117</v>
      </c>
    </row>
    <row r="122" spans="1:14" x14ac:dyDescent="0.25">
      <c r="A122" s="3" t="s">
        <v>123</v>
      </c>
      <c r="B122" s="3" t="s">
        <v>16</v>
      </c>
      <c r="C122" s="6">
        <v>45453</v>
      </c>
      <c r="D122" s="3" t="s">
        <v>23</v>
      </c>
      <c r="E122" s="3" t="s">
        <v>352</v>
      </c>
      <c r="F122" s="3" t="s">
        <v>353</v>
      </c>
      <c r="G122" s="14">
        <v>21561</v>
      </c>
      <c r="H122" s="14">
        <v>340</v>
      </c>
      <c r="I122" s="14">
        <v>741</v>
      </c>
      <c r="J122" s="14">
        <v>986</v>
      </c>
      <c r="K122" s="14">
        <v>24826</v>
      </c>
      <c r="L122" s="14">
        <v>198492</v>
      </c>
      <c r="M122" s="3" t="s">
        <v>14</v>
      </c>
      <c r="N122" s="10">
        <f>SUM(Posts[[#This Row],[Likes]],Posts[[#This Row],[Shares]],Posts[[#This Row],[Comments]])/Posts[[#This Row],[Impressions]]</f>
        <v>0.11407008846704149</v>
      </c>
    </row>
    <row r="123" spans="1:14" x14ac:dyDescent="0.25">
      <c r="A123" s="3" t="s">
        <v>186</v>
      </c>
      <c r="B123" s="3" t="s">
        <v>12</v>
      </c>
      <c r="C123" s="6">
        <v>45936</v>
      </c>
      <c r="D123" s="3" t="s">
        <v>23</v>
      </c>
      <c r="E123" s="3" t="s">
        <v>348</v>
      </c>
      <c r="F123" s="3" t="s">
        <v>349</v>
      </c>
      <c r="G123" s="14">
        <v>22028</v>
      </c>
      <c r="H123" s="14">
        <v>355</v>
      </c>
      <c r="I123" s="14">
        <v>665</v>
      </c>
      <c r="J123" s="14">
        <v>1859</v>
      </c>
      <c r="K123" s="14">
        <v>50565</v>
      </c>
      <c r="L123" s="14">
        <v>202962</v>
      </c>
      <c r="M123" s="3" t="s">
        <v>17</v>
      </c>
      <c r="N123" s="10">
        <f>SUM(Posts[[#This Row],[Likes]],Posts[[#This Row],[Shares]],Posts[[#This Row],[Comments]])/Posts[[#This Row],[Impressions]]</f>
        <v>0.11355820301337197</v>
      </c>
    </row>
    <row r="124" spans="1:14" x14ac:dyDescent="0.25">
      <c r="A124" s="3" t="s">
        <v>51</v>
      </c>
      <c r="B124" s="3" t="s">
        <v>33</v>
      </c>
      <c r="C124" s="6">
        <v>45552</v>
      </c>
      <c r="D124" s="3" t="s">
        <v>20</v>
      </c>
      <c r="E124" s="3" t="s">
        <v>356</v>
      </c>
      <c r="F124" s="3" t="s">
        <v>357</v>
      </c>
      <c r="G124" s="14">
        <v>20017</v>
      </c>
      <c r="H124" s="14">
        <v>495</v>
      </c>
      <c r="I124" s="14">
        <v>178</v>
      </c>
      <c r="J124" s="14">
        <v>2683</v>
      </c>
      <c r="K124" s="14">
        <v>32244</v>
      </c>
      <c r="L124" s="14">
        <v>182633</v>
      </c>
      <c r="M124" s="3" t="s">
        <v>14</v>
      </c>
      <c r="N124" s="10">
        <f>SUM(Posts[[#This Row],[Likes]],Posts[[#This Row],[Shares]],Posts[[#This Row],[Comments]])/Posts[[#This Row],[Impressions]]</f>
        <v>0.11328730295182141</v>
      </c>
    </row>
    <row r="125" spans="1:14" x14ac:dyDescent="0.25">
      <c r="A125" s="3" t="s">
        <v>153</v>
      </c>
      <c r="B125" s="3" t="s">
        <v>19</v>
      </c>
      <c r="C125" s="6">
        <v>45667</v>
      </c>
      <c r="D125" s="3" t="s">
        <v>29</v>
      </c>
      <c r="E125" s="3" t="s">
        <v>359</v>
      </c>
      <c r="F125" s="3" t="s">
        <v>27</v>
      </c>
      <c r="G125" s="14">
        <v>14647</v>
      </c>
      <c r="H125" s="14">
        <v>1168</v>
      </c>
      <c r="I125" s="14">
        <v>484</v>
      </c>
      <c r="J125" s="14">
        <v>2650</v>
      </c>
      <c r="K125" s="14">
        <v>27217</v>
      </c>
      <c r="L125" s="14">
        <v>144061</v>
      </c>
      <c r="M125" s="3" t="s">
        <v>24</v>
      </c>
      <c r="N125" s="10">
        <f>SUM(Posts[[#This Row],[Likes]],Posts[[#This Row],[Shares]],Posts[[#This Row],[Comments]])/Posts[[#This Row],[Impressions]]</f>
        <v>0.11313957281984714</v>
      </c>
    </row>
    <row r="126" spans="1:14" x14ac:dyDescent="0.25">
      <c r="A126" s="3" t="s">
        <v>184</v>
      </c>
      <c r="B126" s="3" t="s">
        <v>19</v>
      </c>
      <c r="C126" s="6">
        <v>45935</v>
      </c>
      <c r="D126" s="3" t="s">
        <v>20</v>
      </c>
      <c r="E126" s="3" t="s">
        <v>352</v>
      </c>
      <c r="F126" s="3" t="s">
        <v>353</v>
      </c>
      <c r="G126" s="14">
        <v>21262</v>
      </c>
      <c r="H126" s="14">
        <v>861</v>
      </c>
      <c r="I126" s="14">
        <v>676</v>
      </c>
      <c r="J126" s="14">
        <v>2263</v>
      </c>
      <c r="K126" s="14">
        <v>12085</v>
      </c>
      <c r="L126" s="14">
        <v>201731</v>
      </c>
      <c r="M126" s="3" t="s">
        <v>17</v>
      </c>
      <c r="N126" s="10">
        <f>SUM(Posts[[#This Row],[Likes]],Posts[[#This Row],[Shares]],Posts[[#This Row],[Comments]])/Posts[[#This Row],[Impressions]]</f>
        <v>0.11301683925623726</v>
      </c>
    </row>
    <row r="127" spans="1:14" x14ac:dyDescent="0.25">
      <c r="A127" s="3" t="s">
        <v>220</v>
      </c>
      <c r="B127" s="3" t="s">
        <v>12</v>
      </c>
      <c r="C127" s="6">
        <v>45519</v>
      </c>
      <c r="D127" s="3" t="s">
        <v>13</v>
      </c>
      <c r="E127" s="3" t="s">
        <v>356</v>
      </c>
      <c r="F127" s="3" t="s">
        <v>357</v>
      </c>
      <c r="G127" s="14">
        <v>15503</v>
      </c>
      <c r="H127" s="14">
        <v>313</v>
      </c>
      <c r="I127" s="14">
        <v>388</v>
      </c>
      <c r="J127" s="14">
        <v>1078</v>
      </c>
      <c r="K127" s="14">
        <v>11500</v>
      </c>
      <c r="L127" s="14">
        <v>143754</v>
      </c>
      <c r="M127" s="3" t="s">
        <v>24</v>
      </c>
      <c r="N127" s="10">
        <f>SUM(Posts[[#This Row],[Likes]],Posts[[#This Row],[Shares]],Posts[[#This Row],[Comments]])/Posts[[#This Row],[Impressions]]</f>
        <v>0.1127203416948398</v>
      </c>
    </row>
    <row r="128" spans="1:14" x14ac:dyDescent="0.25">
      <c r="A128" s="3" t="s">
        <v>96</v>
      </c>
      <c r="B128" s="3" t="s">
        <v>33</v>
      </c>
      <c r="C128" s="6">
        <v>45537</v>
      </c>
      <c r="D128" s="3" t="s">
        <v>29</v>
      </c>
      <c r="E128" s="3" t="s">
        <v>350</v>
      </c>
      <c r="F128" s="3" t="s">
        <v>351</v>
      </c>
      <c r="G128" s="14">
        <v>12040</v>
      </c>
      <c r="H128" s="14">
        <v>1147</v>
      </c>
      <c r="I128" s="14">
        <v>210</v>
      </c>
      <c r="J128" s="14">
        <v>885</v>
      </c>
      <c r="K128" s="14">
        <v>30360</v>
      </c>
      <c r="L128" s="14">
        <v>119530</v>
      </c>
      <c r="M128" s="3" t="s">
        <v>24</v>
      </c>
      <c r="N128" s="10">
        <f>SUM(Posts[[#This Row],[Likes]],Posts[[#This Row],[Shares]],Posts[[#This Row],[Comments]])/Posts[[#This Row],[Impressions]]</f>
        <v>0.1120806492094035</v>
      </c>
    </row>
    <row r="129" spans="1:14" x14ac:dyDescent="0.25">
      <c r="A129" s="3" t="s">
        <v>117</v>
      </c>
      <c r="B129" s="3" t="s">
        <v>16</v>
      </c>
      <c r="C129" s="6">
        <v>45586</v>
      </c>
      <c r="D129" s="3" t="s">
        <v>20</v>
      </c>
      <c r="E129" s="3" t="s">
        <v>346</v>
      </c>
      <c r="F129" s="3" t="s">
        <v>347</v>
      </c>
      <c r="G129" s="14">
        <v>19715</v>
      </c>
      <c r="H129" s="14">
        <v>1014</v>
      </c>
      <c r="I129" s="14">
        <v>718</v>
      </c>
      <c r="J129" s="14">
        <v>1185</v>
      </c>
      <c r="K129" s="14">
        <v>37625</v>
      </c>
      <c r="L129" s="14">
        <v>191409</v>
      </c>
      <c r="M129" s="3" t="s">
        <v>14</v>
      </c>
      <c r="N129" s="10">
        <f>SUM(Posts[[#This Row],[Likes]],Posts[[#This Row],[Shares]],Posts[[#This Row],[Comments]])/Posts[[#This Row],[Impressions]]</f>
        <v>0.11204802282024356</v>
      </c>
    </row>
    <row r="130" spans="1:14" x14ac:dyDescent="0.25">
      <c r="A130" s="3" t="s">
        <v>250</v>
      </c>
      <c r="B130" s="3" t="s">
        <v>33</v>
      </c>
      <c r="C130" s="6">
        <v>45463</v>
      </c>
      <c r="D130" s="3" t="s">
        <v>23</v>
      </c>
      <c r="E130" s="3" t="s">
        <v>354</v>
      </c>
      <c r="F130" s="3" t="s">
        <v>355</v>
      </c>
      <c r="G130" s="14">
        <v>21123</v>
      </c>
      <c r="H130" s="14">
        <v>1343</v>
      </c>
      <c r="I130" s="14">
        <v>589</v>
      </c>
      <c r="J130" s="14">
        <v>727</v>
      </c>
      <c r="K130" s="14">
        <v>87833</v>
      </c>
      <c r="L130" s="14">
        <v>206703</v>
      </c>
      <c r="M130" s="3" t="s">
        <v>14</v>
      </c>
      <c r="N130" s="10">
        <f>SUM(Posts[[#This Row],[Likes]],Posts[[#This Row],[Shares]],Posts[[#This Row],[Comments]])/Posts[[#This Row],[Impressions]]</f>
        <v>0.11153684271636116</v>
      </c>
    </row>
    <row r="131" spans="1:14" x14ac:dyDescent="0.25">
      <c r="A131" s="3" t="s">
        <v>43</v>
      </c>
      <c r="B131" s="3" t="s">
        <v>16</v>
      </c>
      <c r="C131" s="6">
        <v>45466</v>
      </c>
      <c r="D131" s="3" t="s">
        <v>20</v>
      </c>
      <c r="E131" s="3" t="s">
        <v>350</v>
      </c>
      <c r="F131" s="3" t="s">
        <v>358</v>
      </c>
      <c r="G131" s="14">
        <v>16512</v>
      </c>
      <c r="H131" s="14">
        <v>1050</v>
      </c>
      <c r="I131" s="14">
        <v>971</v>
      </c>
      <c r="J131" s="14">
        <v>1891</v>
      </c>
      <c r="K131" s="14">
        <v>15865</v>
      </c>
      <c r="L131" s="14">
        <v>166503</v>
      </c>
      <c r="M131" s="3" t="s">
        <v>24</v>
      </c>
      <c r="N131" s="10">
        <f>SUM(Posts[[#This Row],[Likes]],Posts[[#This Row],[Shares]],Posts[[#This Row],[Comments]])/Posts[[#This Row],[Impressions]]</f>
        <v>0.1113073037723044</v>
      </c>
    </row>
    <row r="132" spans="1:14" x14ac:dyDescent="0.25">
      <c r="A132" s="3" t="s">
        <v>18</v>
      </c>
      <c r="B132" s="3" t="s">
        <v>19</v>
      </c>
      <c r="C132" s="6">
        <v>45789</v>
      </c>
      <c r="D132" s="3" t="s">
        <v>20</v>
      </c>
      <c r="E132" s="3" t="s">
        <v>348</v>
      </c>
      <c r="F132" s="3" t="s">
        <v>349</v>
      </c>
      <c r="G132" s="14">
        <v>19308</v>
      </c>
      <c r="H132" s="14">
        <v>1318</v>
      </c>
      <c r="I132" s="14">
        <v>795</v>
      </c>
      <c r="J132" s="14">
        <v>1499</v>
      </c>
      <c r="K132" s="14">
        <v>52307</v>
      </c>
      <c r="L132" s="14">
        <v>193087</v>
      </c>
      <c r="M132" s="3" t="s">
        <v>21</v>
      </c>
      <c r="N132" s="10">
        <f>SUM(Posts[[#This Row],[Likes]],Posts[[#This Row],[Shares]],Posts[[#This Row],[Comments]])/Posts[[#This Row],[Impressions]]</f>
        <v>0.11093962825047776</v>
      </c>
    </row>
    <row r="133" spans="1:14" x14ac:dyDescent="0.25">
      <c r="A133" s="3" t="s">
        <v>171</v>
      </c>
      <c r="B133" s="3" t="s">
        <v>12</v>
      </c>
      <c r="C133" s="6">
        <v>45448</v>
      </c>
      <c r="D133" s="3" t="s">
        <v>20</v>
      </c>
      <c r="E133" s="3" t="s">
        <v>359</v>
      </c>
      <c r="F133" s="3" t="s">
        <v>27</v>
      </c>
      <c r="G133" s="14">
        <v>18907</v>
      </c>
      <c r="H133" s="14">
        <v>1075</v>
      </c>
      <c r="I133" s="14">
        <v>675</v>
      </c>
      <c r="J133" s="14">
        <v>1383</v>
      </c>
      <c r="K133" s="14">
        <v>17875</v>
      </c>
      <c r="L133" s="14">
        <v>186649</v>
      </c>
      <c r="M133" s="3" t="s">
        <v>14</v>
      </c>
      <c r="N133" s="10">
        <f>SUM(Posts[[#This Row],[Likes]],Posts[[#This Row],[Shares]],Posts[[#This Row],[Comments]])/Posts[[#This Row],[Impressions]]</f>
        <v>0.11067297440650634</v>
      </c>
    </row>
    <row r="134" spans="1:14" x14ac:dyDescent="0.25">
      <c r="A134" s="3" t="s">
        <v>309</v>
      </c>
      <c r="B134" s="3" t="s">
        <v>12</v>
      </c>
      <c r="C134" s="6">
        <v>45552</v>
      </c>
      <c r="D134" s="3" t="s">
        <v>23</v>
      </c>
      <c r="E134" s="3" t="s">
        <v>352</v>
      </c>
      <c r="F134" s="3" t="s">
        <v>353</v>
      </c>
      <c r="G134" s="14">
        <v>20410</v>
      </c>
      <c r="H134" s="14">
        <v>1332</v>
      </c>
      <c r="I134" s="14">
        <v>472</v>
      </c>
      <c r="J134" s="14">
        <v>1202</v>
      </c>
      <c r="K134" s="14">
        <v>9418</v>
      </c>
      <c r="L134" s="14">
        <v>200806</v>
      </c>
      <c r="M134" s="3" t="s">
        <v>14</v>
      </c>
      <c r="N134" s="10">
        <f>SUM(Posts[[#This Row],[Likes]],Posts[[#This Row],[Shares]],Posts[[#This Row],[Comments]])/Posts[[#This Row],[Impressions]]</f>
        <v>0.11062418453631864</v>
      </c>
    </row>
    <row r="135" spans="1:14" x14ac:dyDescent="0.25">
      <c r="A135" s="3" t="s">
        <v>260</v>
      </c>
      <c r="B135" s="3" t="s">
        <v>16</v>
      </c>
      <c r="C135" s="6">
        <v>45648</v>
      </c>
      <c r="D135" s="3" t="s">
        <v>20</v>
      </c>
      <c r="E135" s="3" t="s">
        <v>350</v>
      </c>
      <c r="F135" s="3" t="s">
        <v>351</v>
      </c>
      <c r="G135" s="14">
        <v>20117</v>
      </c>
      <c r="H135" s="14">
        <v>1143</v>
      </c>
      <c r="I135" s="14">
        <v>713</v>
      </c>
      <c r="J135" s="14">
        <v>1739</v>
      </c>
      <c r="K135" s="14">
        <v>34444</v>
      </c>
      <c r="L135" s="14">
        <v>198670</v>
      </c>
      <c r="M135" s="3" t="s">
        <v>37</v>
      </c>
      <c r="N135" s="10">
        <f>SUM(Posts[[#This Row],[Likes]],Posts[[#This Row],[Shares]],Posts[[#This Row],[Comments]])/Posts[[#This Row],[Impressions]]</f>
        <v>0.11060049328031409</v>
      </c>
    </row>
    <row r="136" spans="1:14" x14ac:dyDescent="0.25">
      <c r="A136" s="3" t="s">
        <v>307</v>
      </c>
      <c r="B136" s="3" t="s">
        <v>16</v>
      </c>
      <c r="C136" s="6">
        <v>45568</v>
      </c>
      <c r="D136" s="3" t="s">
        <v>13</v>
      </c>
      <c r="E136" s="3" t="s">
        <v>350</v>
      </c>
      <c r="F136" s="3" t="s">
        <v>351</v>
      </c>
      <c r="G136" s="14">
        <v>22618</v>
      </c>
      <c r="H136" s="14">
        <v>641</v>
      </c>
      <c r="I136" s="14">
        <v>416</v>
      </c>
      <c r="J136" s="14">
        <v>1530</v>
      </c>
      <c r="K136" s="14">
        <v>18395</v>
      </c>
      <c r="L136" s="14">
        <v>215211</v>
      </c>
      <c r="M136" s="3" t="s">
        <v>37</v>
      </c>
      <c r="N136" s="10">
        <f>SUM(Posts[[#This Row],[Likes]],Posts[[#This Row],[Shares]],Posts[[#This Row],[Comments]])/Posts[[#This Row],[Impressions]]</f>
        <v>0.1100083174187193</v>
      </c>
    </row>
    <row r="137" spans="1:14" x14ac:dyDescent="0.25">
      <c r="A137" s="3" t="s">
        <v>283</v>
      </c>
      <c r="B137" s="3" t="s">
        <v>33</v>
      </c>
      <c r="C137" s="6">
        <v>45509</v>
      </c>
      <c r="D137" s="3" t="s">
        <v>23</v>
      </c>
      <c r="E137" s="3" t="s">
        <v>344</v>
      </c>
      <c r="F137" s="3" t="s">
        <v>345</v>
      </c>
      <c r="G137" s="14">
        <v>20935</v>
      </c>
      <c r="H137" s="14">
        <v>1104</v>
      </c>
      <c r="I137" s="14">
        <v>876</v>
      </c>
      <c r="J137" s="14">
        <v>1270</v>
      </c>
      <c r="K137" s="14">
        <v>21454</v>
      </c>
      <c r="L137" s="14">
        <v>208722</v>
      </c>
      <c r="M137" s="3" t="s">
        <v>21</v>
      </c>
      <c r="N137" s="10">
        <f>SUM(Posts[[#This Row],[Likes]],Posts[[#This Row],[Shares]],Posts[[#This Row],[Comments]])/Posts[[#This Row],[Impressions]]</f>
        <v>0.10978718103506099</v>
      </c>
    </row>
    <row r="138" spans="1:14" x14ac:dyDescent="0.25">
      <c r="A138" s="3" t="s">
        <v>178</v>
      </c>
      <c r="B138" s="3" t="s">
        <v>19</v>
      </c>
      <c r="C138" s="6">
        <v>45658</v>
      </c>
      <c r="D138" s="3" t="s">
        <v>23</v>
      </c>
      <c r="E138" s="3" t="s">
        <v>346</v>
      </c>
      <c r="F138" s="3" t="s">
        <v>347</v>
      </c>
      <c r="G138" s="14">
        <v>24574</v>
      </c>
      <c r="H138" s="14">
        <v>909</v>
      </c>
      <c r="I138" s="14">
        <v>280</v>
      </c>
      <c r="J138" s="14">
        <v>2009</v>
      </c>
      <c r="K138" s="14">
        <v>6221</v>
      </c>
      <c r="L138" s="14">
        <v>236910</v>
      </c>
      <c r="M138" s="3" t="s">
        <v>37</v>
      </c>
      <c r="N138" s="10">
        <f>SUM(Posts[[#This Row],[Likes]],Posts[[#This Row],[Shares]],Posts[[#This Row],[Comments]])/Posts[[#This Row],[Impressions]]</f>
        <v>0.10874593727575872</v>
      </c>
    </row>
    <row r="139" spans="1:14" x14ac:dyDescent="0.25">
      <c r="A139" s="3" t="s">
        <v>58</v>
      </c>
      <c r="B139" s="3" t="s">
        <v>16</v>
      </c>
      <c r="C139" s="6">
        <v>45911</v>
      </c>
      <c r="D139" s="3" t="s">
        <v>29</v>
      </c>
      <c r="E139" s="3" t="s">
        <v>356</v>
      </c>
      <c r="F139" s="3" t="s">
        <v>357</v>
      </c>
      <c r="G139" s="14">
        <v>10175</v>
      </c>
      <c r="H139" s="14">
        <v>342</v>
      </c>
      <c r="I139" s="14">
        <v>825</v>
      </c>
      <c r="J139" s="14">
        <v>2904</v>
      </c>
      <c r="K139" s="14">
        <v>15954</v>
      </c>
      <c r="L139" s="14">
        <v>104324</v>
      </c>
      <c r="M139" s="3" t="s">
        <v>17</v>
      </c>
      <c r="N139" s="10">
        <f>SUM(Posts[[#This Row],[Likes]],Posts[[#This Row],[Shares]],Posts[[#This Row],[Comments]])/Posts[[#This Row],[Impressions]]</f>
        <v>0.10871899083624094</v>
      </c>
    </row>
    <row r="140" spans="1:14" x14ac:dyDescent="0.25">
      <c r="A140" s="3" t="s">
        <v>208</v>
      </c>
      <c r="B140" s="3" t="s">
        <v>33</v>
      </c>
      <c r="C140" s="6">
        <v>45643</v>
      </c>
      <c r="D140" s="3" t="s">
        <v>13</v>
      </c>
      <c r="E140" s="3" t="s">
        <v>354</v>
      </c>
      <c r="F140" s="3" t="s">
        <v>355</v>
      </c>
      <c r="G140" s="14">
        <v>20030</v>
      </c>
      <c r="H140" s="14">
        <v>485</v>
      </c>
      <c r="I140" s="14">
        <v>888</v>
      </c>
      <c r="J140" s="14">
        <v>1643</v>
      </c>
      <c r="K140" s="14">
        <v>4322</v>
      </c>
      <c r="L140" s="14">
        <v>196995</v>
      </c>
      <c r="M140" s="3" t="s">
        <v>21</v>
      </c>
      <c r="N140" s="10">
        <f>SUM(Posts[[#This Row],[Likes]],Posts[[#This Row],[Shares]],Posts[[#This Row],[Comments]])/Posts[[#This Row],[Impressions]]</f>
        <v>0.10864742759968526</v>
      </c>
    </row>
    <row r="141" spans="1:14" x14ac:dyDescent="0.25">
      <c r="A141" s="3" t="s">
        <v>77</v>
      </c>
      <c r="B141" s="3" t="s">
        <v>33</v>
      </c>
      <c r="C141" s="6">
        <v>45919</v>
      </c>
      <c r="D141" s="3" t="s">
        <v>13</v>
      </c>
      <c r="E141" s="3" t="s">
        <v>354</v>
      </c>
      <c r="F141" s="3" t="s">
        <v>355</v>
      </c>
      <c r="G141" s="14">
        <v>19100</v>
      </c>
      <c r="H141" s="14">
        <v>619</v>
      </c>
      <c r="I141" s="14">
        <v>297</v>
      </c>
      <c r="J141" s="14">
        <v>2312</v>
      </c>
      <c r="K141" s="14">
        <v>9730</v>
      </c>
      <c r="L141" s="14">
        <v>184832</v>
      </c>
      <c r="M141" s="3" t="s">
        <v>17</v>
      </c>
      <c r="N141" s="10">
        <f>SUM(Posts[[#This Row],[Likes]],Posts[[#This Row],[Shares]],Posts[[#This Row],[Comments]])/Posts[[#This Row],[Impressions]]</f>
        <v>0.10829293628808864</v>
      </c>
    </row>
    <row r="142" spans="1:14" x14ac:dyDescent="0.25">
      <c r="A142" s="3" t="s">
        <v>224</v>
      </c>
      <c r="B142" s="3" t="s">
        <v>19</v>
      </c>
      <c r="C142" s="6">
        <v>45920</v>
      </c>
      <c r="D142" s="3" t="s">
        <v>13</v>
      </c>
      <c r="E142" s="3" t="s">
        <v>354</v>
      </c>
      <c r="F142" s="3" t="s">
        <v>355</v>
      </c>
      <c r="G142" s="14">
        <v>12267</v>
      </c>
      <c r="H142" s="14">
        <v>1487</v>
      </c>
      <c r="I142" s="14">
        <v>489</v>
      </c>
      <c r="J142" s="14">
        <v>2748</v>
      </c>
      <c r="K142" s="14">
        <v>34685</v>
      </c>
      <c r="L142" s="14">
        <v>131736</v>
      </c>
      <c r="M142" s="3" t="s">
        <v>17</v>
      </c>
      <c r="N142" s="10">
        <f>SUM(Posts[[#This Row],[Likes]],Posts[[#This Row],[Shares]],Posts[[#This Row],[Comments]])/Posts[[#This Row],[Impressions]]</f>
        <v>0.1081177506528208</v>
      </c>
    </row>
    <row r="143" spans="1:14" x14ac:dyDescent="0.25">
      <c r="A143" s="3" t="s">
        <v>287</v>
      </c>
      <c r="B143" s="3" t="s">
        <v>33</v>
      </c>
      <c r="C143" s="6">
        <v>45675</v>
      </c>
      <c r="D143" s="3" t="s">
        <v>20</v>
      </c>
      <c r="E143" s="3" t="s">
        <v>359</v>
      </c>
      <c r="F143" s="3" t="s">
        <v>27</v>
      </c>
      <c r="G143" s="14">
        <v>22673</v>
      </c>
      <c r="H143" s="14">
        <v>1053</v>
      </c>
      <c r="I143" s="14">
        <v>169</v>
      </c>
      <c r="J143" s="14">
        <v>1566</v>
      </c>
      <c r="K143" s="14">
        <v>9417</v>
      </c>
      <c r="L143" s="14">
        <v>221187</v>
      </c>
      <c r="M143" s="3" t="s">
        <v>24</v>
      </c>
      <c r="N143" s="10">
        <f>SUM(Posts[[#This Row],[Likes]],Posts[[#This Row],[Shares]],Posts[[#This Row],[Comments]])/Posts[[#This Row],[Impressions]]</f>
        <v>0.10803076130152314</v>
      </c>
    </row>
    <row r="144" spans="1:14" x14ac:dyDescent="0.25">
      <c r="A144" s="3" t="s">
        <v>293</v>
      </c>
      <c r="B144" s="3" t="s">
        <v>16</v>
      </c>
      <c r="C144" s="6">
        <v>45760</v>
      </c>
      <c r="D144" s="3" t="s">
        <v>29</v>
      </c>
      <c r="E144" s="3" t="s">
        <v>54</v>
      </c>
      <c r="F144" s="3"/>
      <c r="G144" s="14">
        <v>24700</v>
      </c>
      <c r="H144" s="14">
        <v>327</v>
      </c>
      <c r="I144" s="14">
        <v>999</v>
      </c>
      <c r="J144" s="14">
        <v>994</v>
      </c>
      <c r="K144" s="14">
        <v>59400</v>
      </c>
      <c r="L144" s="14">
        <v>243502</v>
      </c>
      <c r="M144" s="3" t="s">
        <v>21</v>
      </c>
      <c r="N144" s="10">
        <f>SUM(Posts[[#This Row],[Likes]],Posts[[#This Row],[Shares]],Posts[[#This Row],[Comments]])/Posts[[#This Row],[Impressions]]</f>
        <v>0.10688207899729776</v>
      </c>
    </row>
    <row r="145" spans="1:14" x14ac:dyDescent="0.25">
      <c r="A145" s="3" t="s">
        <v>205</v>
      </c>
      <c r="B145" s="3" t="s">
        <v>12</v>
      </c>
      <c r="C145" s="6">
        <v>45941</v>
      </c>
      <c r="D145" s="3" t="s">
        <v>29</v>
      </c>
      <c r="E145" s="3" t="s">
        <v>354</v>
      </c>
      <c r="F145" s="3" t="s">
        <v>355</v>
      </c>
      <c r="G145" s="14">
        <v>15623</v>
      </c>
      <c r="H145" s="14">
        <v>869</v>
      </c>
      <c r="I145" s="14">
        <v>423</v>
      </c>
      <c r="J145" s="14">
        <v>371</v>
      </c>
      <c r="K145" s="14">
        <v>47579</v>
      </c>
      <c r="L145" s="14">
        <v>158516</v>
      </c>
      <c r="M145" s="3" t="s">
        <v>17</v>
      </c>
      <c r="N145" s="10">
        <f>SUM(Posts[[#This Row],[Likes]],Posts[[#This Row],[Shares]],Posts[[#This Row],[Comments]])/Posts[[#This Row],[Impressions]]</f>
        <v>0.10670847106916652</v>
      </c>
    </row>
    <row r="146" spans="1:14" x14ac:dyDescent="0.25">
      <c r="A146" s="3" t="s">
        <v>239</v>
      </c>
      <c r="B146" s="3" t="s">
        <v>12</v>
      </c>
      <c r="C146" s="6">
        <v>45649</v>
      </c>
      <c r="D146" s="3" t="s">
        <v>23</v>
      </c>
      <c r="E146" s="3" t="s">
        <v>348</v>
      </c>
      <c r="F146" s="3" t="s">
        <v>349</v>
      </c>
      <c r="G146" s="14">
        <v>18616</v>
      </c>
      <c r="H146" s="14">
        <v>1277</v>
      </c>
      <c r="I146" s="14">
        <v>734</v>
      </c>
      <c r="J146" s="14">
        <v>2249</v>
      </c>
      <c r="K146" s="14">
        <v>3399</v>
      </c>
      <c r="L146" s="14">
        <v>193515</v>
      </c>
      <c r="M146" s="3" t="s">
        <v>24</v>
      </c>
      <c r="N146" s="10">
        <f>SUM(Posts[[#This Row],[Likes]],Posts[[#This Row],[Shares]],Posts[[#This Row],[Comments]])/Posts[[#This Row],[Impressions]]</f>
        <v>0.10659122031883833</v>
      </c>
    </row>
    <row r="147" spans="1:14" x14ac:dyDescent="0.25">
      <c r="A147" s="3" t="s">
        <v>297</v>
      </c>
      <c r="B147" s="3" t="s">
        <v>16</v>
      </c>
      <c r="C147" s="6">
        <v>45743</v>
      </c>
      <c r="D147" s="3" t="s">
        <v>20</v>
      </c>
      <c r="E147" s="3" t="s">
        <v>359</v>
      </c>
      <c r="F147" s="3" t="s">
        <v>27</v>
      </c>
      <c r="G147" s="14">
        <v>14819</v>
      </c>
      <c r="H147" s="14">
        <v>1432</v>
      </c>
      <c r="I147" s="14">
        <v>152</v>
      </c>
      <c r="J147" s="14">
        <v>961</v>
      </c>
      <c r="K147" s="14">
        <v>39154</v>
      </c>
      <c r="L147" s="14">
        <v>154793</v>
      </c>
      <c r="M147" s="3" t="s">
        <v>24</v>
      </c>
      <c r="N147" s="10">
        <f>SUM(Posts[[#This Row],[Likes]],Posts[[#This Row],[Shares]],Posts[[#This Row],[Comments]])/Posts[[#This Row],[Impressions]]</f>
        <v>0.10596732410380315</v>
      </c>
    </row>
    <row r="148" spans="1:14" x14ac:dyDescent="0.25">
      <c r="A148" s="3" t="s">
        <v>223</v>
      </c>
      <c r="B148" s="3" t="s">
        <v>16</v>
      </c>
      <c r="C148" s="6">
        <v>45919</v>
      </c>
      <c r="D148" s="3" t="s">
        <v>29</v>
      </c>
      <c r="E148" s="3" t="s">
        <v>350</v>
      </c>
      <c r="F148" s="3" t="s">
        <v>351</v>
      </c>
      <c r="G148" s="14">
        <v>14772</v>
      </c>
      <c r="H148" s="14">
        <v>1030</v>
      </c>
      <c r="I148" s="14">
        <v>508</v>
      </c>
      <c r="J148" s="14">
        <v>1876</v>
      </c>
      <c r="K148" s="14">
        <v>8882</v>
      </c>
      <c r="L148" s="14">
        <v>155142</v>
      </c>
      <c r="M148" s="3" t="s">
        <v>17</v>
      </c>
      <c r="N148" s="10">
        <f>SUM(Posts[[#This Row],[Likes]],Posts[[#This Row],[Shares]],Posts[[#This Row],[Comments]])/Posts[[#This Row],[Impressions]]</f>
        <v>0.10512949426976577</v>
      </c>
    </row>
    <row r="149" spans="1:14" x14ac:dyDescent="0.25">
      <c r="A149" s="3" t="s">
        <v>321</v>
      </c>
      <c r="B149" s="3" t="s">
        <v>16</v>
      </c>
      <c r="C149" s="6">
        <v>45699</v>
      </c>
      <c r="D149" s="3" t="s">
        <v>29</v>
      </c>
      <c r="E149" s="3" t="s">
        <v>360</v>
      </c>
      <c r="F149" s="3" t="s">
        <v>361</v>
      </c>
      <c r="G149" s="14">
        <v>3619</v>
      </c>
      <c r="H149" s="14">
        <v>1376</v>
      </c>
      <c r="I149" s="14">
        <v>410</v>
      </c>
      <c r="J149" s="14">
        <v>2499</v>
      </c>
      <c r="K149" s="14">
        <v>58146</v>
      </c>
      <c r="L149" s="14">
        <v>52149</v>
      </c>
      <c r="M149" s="3" t="s">
        <v>14</v>
      </c>
      <c r="N149" s="10">
        <f>SUM(Posts[[#This Row],[Likes]],Posts[[#This Row],[Shares]],Posts[[#This Row],[Comments]])/Posts[[#This Row],[Impressions]]</f>
        <v>0.10364532397553165</v>
      </c>
    </row>
    <row r="150" spans="1:14" x14ac:dyDescent="0.25">
      <c r="A150" s="3" t="s">
        <v>265</v>
      </c>
      <c r="B150" s="3" t="s">
        <v>16</v>
      </c>
      <c r="C150" s="6">
        <v>45911</v>
      </c>
      <c r="D150" s="3" t="s">
        <v>23</v>
      </c>
      <c r="E150" s="3" t="s">
        <v>352</v>
      </c>
      <c r="F150" s="3" t="s">
        <v>353</v>
      </c>
      <c r="G150" s="14">
        <v>21901</v>
      </c>
      <c r="H150" s="14">
        <v>1308</v>
      </c>
      <c r="I150" s="14">
        <v>724</v>
      </c>
      <c r="J150" s="14">
        <v>2183</v>
      </c>
      <c r="K150" s="14">
        <v>15996</v>
      </c>
      <c r="L150" s="14">
        <v>230961</v>
      </c>
      <c r="M150" s="3" t="s">
        <v>17</v>
      </c>
      <c r="N150" s="10">
        <f>SUM(Posts[[#This Row],[Likes]],Posts[[#This Row],[Shares]],Posts[[#This Row],[Comments]])/Posts[[#This Row],[Impressions]]</f>
        <v>0.10362355549205277</v>
      </c>
    </row>
    <row r="151" spans="1:14" x14ac:dyDescent="0.25">
      <c r="A151" s="3" t="s">
        <v>268</v>
      </c>
      <c r="B151" s="3" t="s">
        <v>16</v>
      </c>
      <c r="C151" s="6">
        <v>45722</v>
      </c>
      <c r="D151" s="3" t="s">
        <v>20</v>
      </c>
      <c r="E151" s="3" t="s">
        <v>356</v>
      </c>
      <c r="F151" s="3" t="s">
        <v>357</v>
      </c>
      <c r="G151" s="14">
        <v>22119</v>
      </c>
      <c r="H151" s="14">
        <v>899</v>
      </c>
      <c r="I151" s="14">
        <v>642</v>
      </c>
      <c r="J151" s="14">
        <v>410</v>
      </c>
      <c r="K151" s="14">
        <v>49490</v>
      </c>
      <c r="L151" s="14">
        <v>229420</v>
      </c>
      <c r="M151" s="3" t="s">
        <v>24</v>
      </c>
      <c r="N151" s="10">
        <f>SUM(Posts[[#This Row],[Likes]],Posts[[#This Row],[Shares]],Posts[[#This Row],[Comments]])/Posts[[#This Row],[Impressions]]</f>
        <v>0.10312963124400662</v>
      </c>
    </row>
    <row r="152" spans="1:14" x14ac:dyDescent="0.25">
      <c r="A152" s="3" t="s">
        <v>315</v>
      </c>
      <c r="B152" s="3" t="s">
        <v>16</v>
      </c>
      <c r="C152" s="6">
        <v>45920</v>
      </c>
      <c r="D152" s="3" t="s">
        <v>13</v>
      </c>
      <c r="E152" s="3" t="s">
        <v>27</v>
      </c>
      <c r="F152" s="3"/>
      <c r="G152" s="14">
        <v>24422</v>
      </c>
      <c r="H152" s="14">
        <v>327</v>
      </c>
      <c r="I152" s="14">
        <v>481</v>
      </c>
      <c r="J152" s="14">
        <v>2371</v>
      </c>
      <c r="K152" s="14">
        <v>35340</v>
      </c>
      <c r="L152" s="14">
        <v>245244</v>
      </c>
      <c r="M152" s="3" t="s">
        <v>17</v>
      </c>
      <c r="N152" s="10">
        <f>SUM(Posts[[#This Row],[Likes]],Posts[[#This Row],[Shares]],Posts[[#This Row],[Comments]])/Posts[[#This Row],[Impressions]]</f>
        <v>0.10287713460879777</v>
      </c>
    </row>
    <row r="153" spans="1:14" x14ac:dyDescent="0.25">
      <c r="A153" s="3" t="s">
        <v>262</v>
      </c>
      <c r="B153" s="3" t="s">
        <v>33</v>
      </c>
      <c r="C153" s="6">
        <v>45587</v>
      </c>
      <c r="D153" s="3" t="s">
        <v>29</v>
      </c>
      <c r="E153" s="3" t="s">
        <v>348</v>
      </c>
      <c r="F153" s="3" t="s">
        <v>349</v>
      </c>
      <c r="G153" s="14">
        <v>7622</v>
      </c>
      <c r="H153" s="14">
        <v>529</v>
      </c>
      <c r="I153" s="14">
        <v>720</v>
      </c>
      <c r="J153" s="14">
        <v>1015</v>
      </c>
      <c r="K153" s="14">
        <v>71322</v>
      </c>
      <c r="L153" s="14">
        <v>86819</v>
      </c>
      <c r="M153" s="3" t="s">
        <v>37</v>
      </c>
      <c r="N153" s="10">
        <f>SUM(Posts[[#This Row],[Likes]],Posts[[#This Row],[Shares]],Posts[[#This Row],[Comments]])/Posts[[#This Row],[Impressions]]</f>
        <v>0.10217809465669957</v>
      </c>
    </row>
    <row r="154" spans="1:14" x14ac:dyDescent="0.25">
      <c r="A154" s="3" t="s">
        <v>191</v>
      </c>
      <c r="B154" s="3" t="s">
        <v>19</v>
      </c>
      <c r="C154" s="6">
        <v>45704</v>
      </c>
      <c r="D154" s="3" t="s">
        <v>20</v>
      </c>
      <c r="E154" s="3" t="s">
        <v>350</v>
      </c>
      <c r="F154" s="3" t="s">
        <v>358</v>
      </c>
      <c r="G154" s="14">
        <v>24195</v>
      </c>
      <c r="H154" s="14">
        <v>888</v>
      </c>
      <c r="I154" s="14">
        <v>165</v>
      </c>
      <c r="J154" s="14">
        <v>1559</v>
      </c>
      <c r="K154" s="14">
        <v>11596</v>
      </c>
      <c r="L154" s="14">
        <v>249988</v>
      </c>
      <c r="M154" s="3" t="s">
        <v>21</v>
      </c>
      <c r="N154" s="10">
        <f>SUM(Posts[[#This Row],[Likes]],Posts[[#This Row],[Shares]],Posts[[#This Row],[Comments]])/Posts[[#This Row],[Impressions]]</f>
        <v>0.10099684784869674</v>
      </c>
    </row>
    <row r="155" spans="1:14" x14ac:dyDescent="0.25">
      <c r="A155" s="3" t="s">
        <v>147</v>
      </c>
      <c r="B155" s="3" t="s">
        <v>19</v>
      </c>
      <c r="C155" s="6">
        <v>45567</v>
      </c>
      <c r="D155" s="3" t="s">
        <v>23</v>
      </c>
      <c r="E155" s="3" t="s">
        <v>359</v>
      </c>
      <c r="F155" s="3" t="s">
        <v>27</v>
      </c>
      <c r="G155" s="14">
        <v>9350</v>
      </c>
      <c r="H155" s="14">
        <v>1024</v>
      </c>
      <c r="I155" s="14">
        <v>550</v>
      </c>
      <c r="J155" s="14">
        <v>2123</v>
      </c>
      <c r="K155" s="14">
        <v>53916</v>
      </c>
      <c r="L155" s="14">
        <v>108785</v>
      </c>
      <c r="M155" s="3" t="s">
        <v>21</v>
      </c>
      <c r="N155" s="10">
        <f>SUM(Posts[[#This Row],[Likes]],Posts[[#This Row],[Shares]],Posts[[#This Row],[Comments]])/Posts[[#This Row],[Impressions]]</f>
        <v>0.10041825619340902</v>
      </c>
    </row>
    <row r="156" spans="1:14" x14ac:dyDescent="0.25">
      <c r="A156" s="3" t="s">
        <v>274</v>
      </c>
      <c r="B156" s="3" t="s">
        <v>19</v>
      </c>
      <c r="C156" s="6">
        <v>45491</v>
      </c>
      <c r="D156" s="3" t="s">
        <v>23</v>
      </c>
      <c r="E156" s="3" t="s">
        <v>54</v>
      </c>
      <c r="F156" s="3"/>
      <c r="G156" s="14">
        <v>11111</v>
      </c>
      <c r="H156" s="14">
        <v>1222</v>
      </c>
      <c r="I156" s="14">
        <v>367</v>
      </c>
      <c r="J156" s="14">
        <v>507</v>
      </c>
      <c r="K156" s="14">
        <v>14129</v>
      </c>
      <c r="L156" s="14">
        <v>127163</v>
      </c>
      <c r="M156" s="3" t="s">
        <v>37</v>
      </c>
      <c r="N156" s="10">
        <f>SUM(Posts[[#This Row],[Likes]],Posts[[#This Row],[Shares]],Posts[[#This Row],[Comments]])/Posts[[#This Row],[Impressions]]</f>
        <v>9.9871818060284834E-2</v>
      </c>
    </row>
    <row r="157" spans="1:14" x14ac:dyDescent="0.25">
      <c r="A157" s="3" t="s">
        <v>190</v>
      </c>
      <c r="B157" s="3" t="s">
        <v>33</v>
      </c>
      <c r="C157" s="6">
        <v>45937</v>
      </c>
      <c r="D157" s="3" t="s">
        <v>29</v>
      </c>
      <c r="E157" s="3" t="s">
        <v>354</v>
      </c>
      <c r="F157" s="3" t="s">
        <v>355</v>
      </c>
      <c r="G157" s="14">
        <v>19660</v>
      </c>
      <c r="H157" s="14">
        <v>1307</v>
      </c>
      <c r="I157" s="14">
        <v>310</v>
      </c>
      <c r="J157" s="14">
        <v>2802</v>
      </c>
      <c r="K157" s="14">
        <v>22171</v>
      </c>
      <c r="L157" s="14">
        <v>213359</v>
      </c>
      <c r="M157" s="3" t="s">
        <v>17</v>
      </c>
      <c r="N157" s="10">
        <f>SUM(Posts[[#This Row],[Likes]],Posts[[#This Row],[Shares]],Posts[[#This Row],[Comments]])/Posts[[#This Row],[Impressions]]</f>
        <v>9.9723939463533293E-2</v>
      </c>
    </row>
    <row r="158" spans="1:14" x14ac:dyDescent="0.25">
      <c r="A158" s="3" t="s">
        <v>32</v>
      </c>
      <c r="B158" s="3" t="s">
        <v>33</v>
      </c>
      <c r="C158" s="6">
        <v>45727</v>
      </c>
      <c r="D158" s="3" t="s">
        <v>23</v>
      </c>
      <c r="E158" s="3" t="s">
        <v>356</v>
      </c>
      <c r="F158" s="3" t="s">
        <v>357</v>
      </c>
      <c r="G158" s="14">
        <v>20222</v>
      </c>
      <c r="H158" s="14">
        <v>712</v>
      </c>
      <c r="I158" s="14">
        <v>604</v>
      </c>
      <c r="J158" s="14">
        <v>1272</v>
      </c>
      <c r="K158" s="14">
        <v>71598</v>
      </c>
      <c r="L158" s="14">
        <v>216422</v>
      </c>
      <c r="M158" s="3" t="s">
        <v>21</v>
      </c>
      <c r="N158" s="10">
        <f>SUM(Posts[[#This Row],[Likes]],Posts[[#This Row],[Shares]],Posts[[#This Row],[Comments]])/Posts[[#This Row],[Impressions]]</f>
        <v>9.9518533235992648E-2</v>
      </c>
    </row>
    <row r="159" spans="1:14" x14ac:dyDescent="0.25">
      <c r="A159" s="3" t="s">
        <v>128</v>
      </c>
      <c r="B159" s="3" t="s">
        <v>33</v>
      </c>
      <c r="C159" s="6">
        <v>45927</v>
      </c>
      <c r="D159" s="3" t="s">
        <v>20</v>
      </c>
      <c r="E159" s="3" t="s">
        <v>346</v>
      </c>
      <c r="F159" s="3" t="s">
        <v>347</v>
      </c>
      <c r="G159" s="14">
        <v>18521</v>
      </c>
      <c r="H159" s="14">
        <v>1027</v>
      </c>
      <c r="I159" s="14">
        <v>230</v>
      </c>
      <c r="J159" s="14">
        <v>1247</v>
      </c>
      <c r="K159" s="14">
        <v>39588</v>
      </c>
      <c r="L159" s="14">
        <v>200928</v>
      </c>
      <c r="M159" s="3" t="s">
        <v>17</v>
      </c>
      <c r="N159" s="10">
        <f>SUM(Posts[[#This Row],[Likes]],Posts[[#This Row],[Shares]],Posts[[#This Row],[Comments]])/Posts[[#This Row],[Impressions]]</f>
        <v>9.8433269628921807E-2</v>
      </c>
    </row>
    <row r="160" spans="1:14" x14ac:dyDescent="0.25">
      <c r="A160" s="3" t="s">
        <v>143</v>
      </c>
      <c r="B160" s="3" t="s">
        <v>33</v>
      </c>
      <c r="C160" s="6">
        <v>45600</v>
      </c>
      <c r="D160" s="3" t="s">
        <v>23</v>
      </c>
      <c r="E160" s="3" t="s">
        <v>27</v>
      </c>
      <c r="F160" s="3"/>
      <c r="G160" s="14">
        <v>14234</v>
      </c>
      <c r="H160" s="14">
        <v>1013</v>
      </c>
      <c r="I160" s="14">
        <v>437</v>
      </c>
      <c r="J160" s="14">
        <v>338</v>
      </c>
      <c r="K160" s="14">
        <v>67754</v>
      </c>
      <c r="L160" s="14">
        <v>160030</v>
      </c>
      <c r="M160" s="3" t="s">
        <v>21</v>
      </c>
      <c r="N160" s="10">
        <f>SUM(Posts[[#This Row],[Likes]],Posts[[#This Row],[Shares]],Posts[[#This Row],[Comments]])/Posts[[#This Row],[Impressions]]</f>
        <v>9.8006623758045364E-2</v>
      </c>
    </row>
    <row r="161" spans="1:14" x14ac:dyDescent="0.25">
      <c r="A161" s="3" t="s">
        <v>278</v>
      </c>
      <c r="B161" s="3" t="s">
        <v>16</v>
      </c>
      <c r="C161" s="6">
        <v>45916</v>
      </c>
      <c r="D161" s="3" t="s">
        <v>13</v>
      </c>
      <c r="E161" s="3" t="s">
        <v>54</v>
      </c>
      <c r="F161" s="3"/>
      <c r="G161" s="14">
        <v>16043</v>
      </c>
      <c r="H161" s="14">
        <v>595</v>
      </c>
      <c r="I161" s="14">
        <v>923</v>
      </c>
      <c r="J161" s="14">
        <v>1194</v>
      </c>
      <c r="K161" s="14">
        <v>52613</v>
      </c>
      <c r="L161" s="14">
        <v>179978</v>
      </c>
      <c r="M161" s="3" t="s">
        <v>17</v>
      </c>
      <c r="N161" s="10">
        <f>SUM(Posts[[#This Row],[Likes]],Posts[[#This Row],[Shares]],Posts[[#This Row],[Comments]])/Posts[[#This Row],[Impressions]]</f>
        <v>9.757303670448611E-2</v>
      </c>
    </row>
    <row r="162" spans="1:14" x14ac:dyDescent="0.25">
      <c r="A162" s="3" t="s">
        <v>139</v>
      </c>
      <c r="B162" s="3" t="s">
        <v>33</v>
      </c>
      <c r="C162" s="6">
        <v>45610</v>
      </c>
      <c r="D162" s="3" t="s">
        <v>13</v>
      </c>
      <c r="E162" s="3" t="s">
        <v>348</v>
      </c>
      <c r="F162" s="3" t="s">
        <v>349</v>
      </c>
      <c r="G162" s="14">
        <v>6300</v>
      </c>
      <c r="H162" s="14">
        <v>1213</v>
      </c>
      <c r="I162" s="14">
        <v>720</v>
      </c>
      <c r="J162" s="14">
        <v>1037</v>
      </c>
      <c r="K162" s="14">
        <v>39569</v>
      </c>
      <c r="L162" s="14">
        <v>85272</v>
      </c>
      <c r="M162" s="3" t="s">
        <v>24</v>
      </c>
      <c r="N162" s="10">
        <f>SUM(Posts[[#This Row],[Likes]],Posts[[#This Row],[Shares]],Posts[[#This Row],[Comments]])/Posts[[#This Row],[Impressions]]</f>
        <v>9.6549863964724647E-2</v>
      </c>
    </row>
    <row r="163" spans="1:14" x14ac:dyDescent="0.25">
      <c r="A163" s="3" t="s">
        <v>233</v>
      </c>
      <c r="B163" s="3" t="s">
        <v>16</v>
      </c>
      <c r="C163" s="6">
        <v>45467</v>
      </c>
      <c r="D163" s="3" t="s">
        <v>20</v>
      </c>
      <c r="E163" s="3" t="s">
        <v>346</v>
      </c>
      <c r="F163" s="3" t="s">
        <v>347</v>
      </c>
      <c r="G163" s="14">
        <v>5596</v>
      </c>
      <c r="H163" s="14">
        <v>1231</v>
      </c>
      <c r="I163" s="14">
        <v>473</v>
      </c>
      <c r="J163" s="14">
        <v>2251</v>
      </c>
      <c r="K163" s="14">
        <v>43705</v>
      </c>
      <c r="L163" s="14">
        <v>75643</v>
      </c>
      <c r="M163" s="3" t="s">
        <v>14</v>
      </c>
      <c r="N163" s="10">
        <f>SUM(Posts[[#This Row],[Likes]],Posts[[#This Row],[Shares]],Posts[[#This Row],[Comments]])/Posts[[#This Row],[Impressions]]</f>
        <v>9.6505955607260427E-2</v>
      </c>
    </row>
    <row r="164" spans="1:14" x14ac:dyDescent="0.25">
      <c r="A164" s="3" t="s">
        <v>288</v>
      </c>
      <c r="B164" s="3" t="s">
        <v>19</v>
      </c>
      <c r="C164" s="6">
        <v>45524</v>
      </c>
      <c r="D164" s="3" t="s">
        <v>20</v>
      </c>
      <c r="E164" s="3" t="s">
        <v>27</v>
      </c>
      <c r="F164" s="3"/>
      <c r="G164" s="14">
        <v>2846</v>
      </c>
      <c r="H164" s="14">
        <v>792</v>
      </c>
      <c r="I164" s="14">
        <v>902</v>
      </c>
      <c r="J164" s="14">
        <v>2469</v>
      </c>
      <c r="K164" s="14">
        <v>12130</v>
      </c>
      <c r="L164" s="14">
        <v>47151</v>
      </c>
      <c r="M164" s="3" t="s">
        <v>14</v>
      </c>
      <c r="N164" s="10">
        <f>SUM(Posts[[#This Row],[Likes]],Posts[[#This Row],[Shares]],Posts[[#This Row],[Comments]])/Posts[[#This Row],[Impressions]]</f>
        <v>9.6286399015927546E-2</v>
      </c>
    </row>
    <row r="165" spans="1:14" x14ac:dyDescent="0.25">
      <c r="A165" s="3" t="s">
        <v>60</v>
      </c>
      <c r="B165" s="3" t="s">
        <v>33</v>
      </c>
      <c r="C165" s="6">
        <v>45626</v>
      </c>
      <c r="D165" s="3" t="s">
        <v>23</v>
      </c>
      <c r="E165" s="3" t="s">
        <v>350</v>
      </c>
      <c r="F165" s="3" t="s">
        <v>358</v>
      </c>
      <c r="G165" s="14">
        <v>14763</v>
      </c>
      <c r="H165" s="14">
        <v>864</v>
      </c>
      <c r="I165" s="14">
        <v>336</v>
      </c>
      <c r="J165" s="14">
        <v>1493</v>
      </c>
      <c r="K165" s="14">
        <v>33310</v>
      </c>
      <c r="L165" s="14">
        <v>165932</v>
      </c>
      <c r="M165" s="3" t="s">
        <v>24</v>
      </c>
      <c r="N165" s="10">
        <f>SUM(Posts[[#This Row],[Likes]],Posts[[#This Row],[Shares]],Posts[[#This Row],[Comments]])/Posts[[#This Row],[Impressions]]</f>
        <v>9.6202058674637797E-2</v>
      </c>
    </row>
    <row r="166" spans="1:14" x14ac:dyDescent="0.25">
      <c r="A166" s="3" t="s">
        <v>50</v>
      </c>
      <c r="B166" s="3" t="s">
        <v>33</v>
      </c>
      <c r="C166" s="6">
        <v>45752</v>
      </c>
      <c r="D166" s="3" t="s">
        <v>23</v>
      </c>
      <c r="E166" s="3" t="s">
        <v>354</v>
      </c>
      <c r="F166" s="3" t="s">
        <v>355</v>
      </c>
      <c r="G166" s="14">
        <v>22384</v>
      </c>
      <c r="H166" s="14">
        <v>601</v>
      </c>
      <c r="I166" s="14">
        <v>943</v>
      </c>
      <c r="J166" s="14">
        <v>515</v>
      </c>
      <c r="K166" s="14">
        <v>41309</v>
      </c>
      <c r="L166" s="14">
        <v>249373</v>
      </c>
      <c r="M166" s="3" t="s">
        <v>14</v>
      </c>
      <c r="N166" s="10">
        <f>SUM(Posts[[#This Row],[Likes]],Posts[[#This Row],[Shares]],Posts[[#This Row],[Comments]])/Posts[[#This Row],[Impressions]]</f>
        <v>9.5952649244304716E-2</v>
      </c>
    </row>
    <row r="167" spans="1:14" x14ac:dyDescent="0.25">
      <c r="A167" s="3" t="s">
        <v>263</v>
      </c>
      <c r="B167" s="3" t="s">
        <v>33</v>
      </c>
      <c r="C167" s="6">
        <v>45489</v>
      </c>
      <c r="D167" s="3" t="s">
        <v>20</v>
      </c>
      <c r="E167" s="3" t="s">
        <v>356</v>
      </c>
      <c r="F167" s="3" t="s">
        <v>357</v>
      </c>
      <c r="G167" s="14">
        <v>8767</v>
      </c>
      <c r="H167" s="14">
        <v>974</v>
      </c>
      <c r="I167" s="14">
        <v>733</v>
      </c>
      <c r="J167" s="14">
        <v>1587</v>
      </c>
      <c r="K167" s="14">
        <v>74927</v>
      </c>
      <c r="L167" s="14">
        <v>113770</v>
      </c>
      <c r="M167" s="3" t="s">
        <v>14</v>
      </c>
      <c r="N167" s="10">
        <f>SUM(Posts[[#This Row],[Likes]],Posts[[#This Row],[Shares]],Posts[[#This Row],[Comments]])/Posts[[#This Row],[Impressions]]</f>
        <v>9.2062933989628198E-2</v>
      </c>
    </row>
    <row r="168" spans="1:14" x14ac:dyDescent="0.25">
      <c r="A168" s="3" t="s">
        <v>81</v>
      </c>
      <c r="B168" s="3" t="s">
        <v>16</v>
      </c>
      <c r="C168" s="6">
        <v>45644</v>
      </c>
      <c r="D168" s="3" t="s">
        <v>20</v>
      </c>
      <c r="E168" s="3" t="s">
        <v>356</v>
      </c>
      <c r="F168" s="3" t="s">
        <v>357</v>
      </c>
      <c r="G168" s="14">
        <v>14775</v>
      </c>
      <c r="H168" s="14">
        <v>1220</v>
      </c>
      <c r="I168" s="14">
        <v>640</v>
      </c>
      <c r="J168" s="14">
        <v>1547</v>
      </c>
      <c r="K168" s="14">
        <v>28527</v>
      </c>
      <c r="L168" s="14">
        <v>183660</v>
      </c>
      <c r="M168" s="3" t="s">
        <v>37</v>
      </c>
      <c r="N168" s="10">
        <f>SUM(Posts[[#This Row],[Likes]],Posts[[#This Row],[Shares]],Posts[[#This Row],[Comments]])/Posts[[#This Row],[Impressions]]</f>
        <v>9.0574975498203203E-2</v>
      </c>
    </row>
    <row r="169" spans="1:14" x14ac:dyDescent="0.25">
      <c r="A169" s="3" t="s">
        <v>291</v>
      </c>
      <c r="B169" s="3" t="s">
        <v>33</v>
      </c>
      <c r="C169" s="6">
        <v>45621</v>
      </c>
      <c r="D169" s="3" t="s">
        <v>23</v>
      </c>
      <c r="E169" s="3" t="s">
        <v>356</v>
      </c>
      <c r="F169" s="3" t="s">
        <v>357</v>
      </c>
      <c r="G169" s="14">
        <v>17385</v>
      </c>
      <c r="H169" s="14">
        <v>831</v>
      </c>
      <c r="I169" s="14">
        <v>568</v>
      </c>
      <c r="J169" s="14">
        <v>2227</v>
      </c>
      <c r="K169" s="14">
        <v>49351</v>
      </c>
      <c r="L169" s="14">
        <v>207450</v>
      </c>
      <c r="M169" s="3" t="s">
        <v>21</v>
      </c>
      <c r="N169" s="10">
        <f>SUM(Posts[[#This Row],[Likes]],Posts[[#This Row],[Shares]],Posts[[#This Row],[Comments]])/Posts[[#This Row],[Impressions]]</f>
        <v>9.0547119787900698E-2</v>
      </c>
    </row>
    <row r="170" spans="1:14" x14ac:dyDescent="0.25">
      <c r="A170" s="3" t="s">
        <v>204</v>
      </c>
      <c r="B170" s="3" t="s">
        <v>19</v>
      </c>
      <c r="C170" s="6">
        <v>45488</v>
      </c>
      <c r="D170" s="3" t="s">
        <v>13</v>
      </c>
      <c r="E170" s="3" t="s">
        <v>350</v>
      </c>
      <c r="F170" s="3" t="s">
        <v>358</v>
      </c>
      <c r="G170" s="14">
        <v>17034</v>
      </c>
      <c r="H170" s="14">
        <v>231</v>
      </c>
      <c r="I170" s="14">
        <v>290</v>
      </c>
      <c r="J170" s="14">
        <v>1387</v>
      </c>
      <c r="K170" s="14">
        <v>63550</v>
      </c>
      <c r="L170" s="14">
        <v>198280</v>
      </c>
      <c r="M170" s="3" t="s">
        <v>37</v>
      </c>
      <c r="N170" s="10">
        <f>SUM(Posts[[#This Row],[Likes]],Posts[[#This Row],[Shares]],Posts[[#This Row],[Comments]])/Posts[[#This Row],[Impressions]]</f>
        <v>8.8536413153116805E-2</v>
      </c>
    </row>
    <row r="171" spans="1:14" x14ac:dyDescent="0.25">
      <c r="A171" s="3" t="s">
        <v>15</v>
      </c>
      <c r="B171" s="3" t="s">
        <v>16</v>
      </c>
      <c r="C171" s="6">
        <v>45903</v>
      </c>
      <c r="D171" s="3" t="s">
        <v>13</v>
      </c>
      <c r="E171" s="3" t="s">
        <v>346</v>
      </c>
      <c r="F171" s="3" t="s">
        <v>347</v>
      </c>
      <c r="G171" s="14">
        <v>4779</v>
      </c>
      <c r="H171" s="14">
        <v>1110</v>
      </c>
      <c r="I171" s="14">
        <v>436</v>
      </c>
      <c r="J171" s="14">
        <v>1574</v>
      </c>
      <c r="K171" s="14">
        <v>77167</v>
      </c>
      <c r="L171" s="14">
        <v>71585</v>
      </c>
      <c r="M171" s="3" t="s">
        <v>17</v>
      </c>
      <c r="N171" s="10">
        <f>SUM(Posts[[#This Row],[Likes]],Posts[[#This Row],[Shares]],Posts[[#This Row],[Comments]])/Posts[[#This Row],[Impressions]]</f>
        <v>8.8356499266606131E-2</v>
      </c>
    </row>
    <row r="172" spans="1:14" x14ac:dyDescent="0.25">
      <c r="A172" s="3" t="s">
        <v>111</v>
      </c>
      <c r="B172" s="3" t="s">
        <v>12</v>
      </c>
      <c r="C172" s="6">
        <v>45684</v>
      </c>
      <c r="D172" s="3" t="s">
        <v>29</v>
      </c>
      <c r="E172" s="3" t="s">
        <v>356</v>
      </c>
      <c r="F172" s="3" t="s">
        <v>357</v>
      </c>
      <c r="G172" s="14">
        <v>8949</v>
      </c>
      <c r="H172" s="14">
        <v>1477</v>
      </c>
      <c r="I172" s="14">
        <v>424</v>
      </c>
      <c r="J172" s="14">
        <v>1030</v>
      </c>
      <c r="K172" s="14">
        <v>58052</v>
      </c>
      <c r="L172" s="14">
        <v>123310</v>
      </c>
      <c r="M172" s="3" t="s">
        <v>14</v>
      </c>
      <c r="N172" s="10">
        <f>SUM(Posts[[#This Row],[Likes]],Posts[[#This Row],[Shares]],Posts[[#This Row],[Comments]])/Posts[[#This Row],[Impressions]]</f>
        <v>8.7989619657773091E-2</v>
      </c>
    </row>
    <row r="173" spans="1:14" x14ac:dyDescent="0.25">
      <c r="A173" s="3" t="s">
        <v>82</v>
      </c>
      <c r="B173" s="3" t="s">
        <v>16</v>
      </c>
      <c r="C173" s="6">
        <v>45586</v>
      </c>
      <c r="D173" s="3" t="s">
        <v>23</v>
      </c>
      <c r="E173" s="3" t="s">
        <v>350</v>
      </c>
      <c r="F173" s="3" t="s">
        <v>358</v>
      </c>
      <c r="G173" s="14">
        <v>12015</v>
      </c>
      <c r="H173" s="14">
        <v>1196</v>
      </c>
      <c r="I173" s="14">
        <v>998</v>
      </c>
      <c r="J173" s="14">
        <v>1848</v>
      </c>
      <c r="K173" s="14">
        <v>44739</v>
      </c>
      <c r="L173" s="14">
        <v>161750</v>
      </c>
      <c r="M173" s="3" t="s">
        <v>37</v>
      </c>
      <c r="N173" s="10">
        <f>SUM(Posts[[#This Row],[Likes]],Posts[[#This Row],[Shares]],Posts[[#This Row],[Comments]])/Posts[[#This Row],[Impressions]]</f>
        <v>8.7845440494590421E-2</v>
      </c>
    </row>
    <row r="174" spans="1:14" x14ac:dyDescent="0.25">
      <c r="A174" s="3" t="s">
        <v>322</v>
      </c>
      <c r="B174" s="3" t="s">
        <v>33</v>
      </c>
      <c r="C174" s="6">
        <v>45650</v>
      </c>
      <c r="D174" s="3" t="s">
        <v>13</v>
      </c>
      <c r="E174" s="3" t="s">
        <v>54</v>
      </c>
      <c r="F174" s="3"/>
      <c r="G174" s="14">
        <v>10512</v>
      </c>
      <c r="H174" s="14">
        <v>1197</v>
      </c>
      <c r="I174" s="14">
        <v>544</v>
      </c>
      <c r="J174" s="14">
        <v>2012</v>
      </c>
      <c r="K174" s="14">
        <v>10245</v>
      </c>
      <c r="L174" s="14">
        <v>140102</v>
      </c>
      <c r="M174" s="3" t="s">
        <v>14</v>
      </c>
      <c r="N174" s="10">
        <f>SUM(Posts[[#This Row],[Likes]],Posts[[#This Row],[Shares]],Posts[[#This Row],[Comments]])/Posts[[#This Row],[Impressions]]</f>
        <v>8.745770938316369E-2</v>
      </c>
    </row>
    <row r="175" spans="1:14" x14ac:dyDescent="0.25">
      <c r="A175" s="3" t="s">
        <v>162</v>
      </c>
      <c r="B175" s="3" t="s">
        <v>19</v>
      </c>
      <c r="C175" s="6">
        <v>45504</v>
      </c>
      <c r="D175" s="3" t="s">
        <v>29</v>
      </c>
      <c r="E175" s="3" t="s">
        <v>350</v>
      </c>
      <c r="F175" s="3" t="s">
        <v>351</v>
      </c>
      <c r="G175" s="14">
        <v>13314</v>
      </c>
      <c r="H175" s="14">
        <v>274</v>
      </c>
      <c r="I175" s="14">
        <v>626</v>
      </c>
      <c r="J175" s="14">
        <v>2280</v>
      </c>
      <c r="K175" s="14">
        <v>14639</v>
      </c>
      <c r="L175" s="14">
        <v>163008</v>
      </c>
      <c r="M175" s="3" t="s">
        <v>24</v>
      </c>
      <c r="N175" s="10">
        <f>SUM(Posts[[#This Row],[Likes]],Posts[[#This Row],[Shares]],Posts[[#This Row],[Comments]])/Posts[[#This Row],[Impressions]]</f>
        <v>8.7198174322732622E-2</v>
      </c>
    </row>
    <row r="176" spans="1:14" x14ac:dyDescent="0.25">
      <c r="A176" s="3" t="s">
        <v>53</v>
      </c>
      <c r="B176" s="3" t="s">
        <v>16</v>
      </c>
      <c r="C176" s="6">
        <v>45910</v>
      </c>
      <c r="D176" s="3" t="s">
        <v>29</v>
      </c>
      <c r="E176" s="3" t="s">
        <v>54</v>
      </c>
      <c r="F176" s="3"/>
      <c r="G176" s="14">
        <v>9266</v>
      </c>
      <c r="H176" s="14">
        <v>999</v>
      </c>
      <c r="I176" s="14">
        <v>928</v>
      </c>
      <c r="J176" s="14">
        <v>2700</v>
      </c>
      <c r="K176" s="14">
        <v>12264</v>
      </c>
      <c r="L176" s="14">
        <v>128397</v>
      </c>
      <c r="M176" s="3" t="s">
        <v>17</v>
      </c>
      <c r="N176" s="10">
        <f>SUM(Posts[[#This Row],[Likes]],Posts[[#This Row],[Shares]],Posts[[#This Row],[Comments]])/Posts[[#This Row],[Impressions]]</f>
        <v>8.7174933993784898E-2</v>
      </c>
    </row>
    <row r="177" spans="1:14" x14ac:dyDescent="0.25">
      <c r="A177" s="3" t="s">
        <v>59</v>
      </c>
      <c r="B177" s="3" t="s">
        <v>33</v>
      </c>
      <c r="C177" s="6">
        <v>45912</v>
      </c>
      <c r="D177" s="3" t="s">
        <v>20</v>
      </c>
      <c r="E177" s="3" t="s">
        <v>348</v>
      </c>
      <c r="F177" s="3" t="s">
        <v>349</v>
      </c>
      <c r="G177" s="14">
        <v>17158</v>
      </c>
      <c r="H177" s="14">
        <v>1192</v>
      </c>
      <c r="I177" s="14">
        <v>262</v>
      </c>
      <c r="J177" s="14">
        <v>2016</v>
      </c>
      <c r="K177" s="14">
        <v>28771</v>
      </c>
      <c r="L177" s="14">
        <v>216037</v>
      </c>
      <c r="M177" s="3" t="s">
        <v>17</v>
      </c>
      <c r="N177" s="10">
        <f>SUM(Posts[[#This Row],[Likes]],Posts[[#This Row],[Shares]],Posts[[#This Row],[Comments]])/Posts[[#This Row],[Impressions]]</f>
        <v>8.6151909163708074E-2</v>
      </c>
    </row>
    <row r="178" spans="1:14" x14ac:dyDescent="0.25">
      <c r="A178" s="3" t="s">
        <v>89</v>
      </c>
      <c r="B178" s="3" t="s">
        <v>19</v>
      </c>
      <c r="C178" s="6">
        <v>45521</v>
      </c>
      <c r="D178" s="3" t="s">
        <v>23</v>
      </c>
      <c r="E178" s="3" t="s">
        <v>27</v>
      </c>
      <c r="F178" s="3"/>
      <c r="G178" s="14">
        <v>19154</v>
      </c>
      <c r="H178" s="14">
        <v>1064</v>
      </c>
      <c r="I178" s="14">
        <v>650</v>
      </c>
      <c r="J178" s="14">
        <v>747</v>
      </c>
      <c r="K178" s="14">
        <v>42667</v>
      </c>
      <c r="L178" s="14">
        <v>242332</v>
      </c>
      <c r="M178" s="3" t="s">
        <v>21</v>
      </c>
      <c r="N178" s="10">
        <f>SUM(Posts[[#This Row],[Likes]],Posts[[#This Row],[Shares]],Posts[[#This Row],[Comments]])/Posts[[#This Row],[Impressions]]</f>
        <v>8.6113266097750191E-2</v>
      </c>
    </row>
    <row r="179" spans="1:14" x14ac:dyDescent="0.25">
      <c r="A179" s="3" t="s">
        <v>80</v>
      </c>
      <c r="B179" s="3" t="s">
        <v>12</v>
      </c>
      <c r="C179" s="6">
        <v>45460</v>
      </c>
      <c r="D179" s="3" t="s">
        <v>29</v>
      </c>
      <c r="E179" s="3" t="s">
        <v>344</v>
      </c>
      <c r="F179" s="3" t="s">
        <v>345</v>
      </c>
      <c r="G179" s="14">
        <v>6976</v>
      </c>
      <c r="H179" s="14">
        <v>1320</v>
      </c>
      <c r="I179" s="14">
        <v>393</v>
      </c>
      <c r="J179" s="14">
        <v>2285</v>
      </c>
      <c r="K179" s="14">
        <v>14049</v>
      </c>
      <c r="L179" s="14">
        <v>101367</v>
      </c>
      <c r="M179" s="3" t="s">
        <v>37</v>
      </c>
      <c r="N179" s="10">
        <f>SUM(Posts[[#This Row],[Likes]],Posts[[#This Row],[Shares]],Posts[[#This Row],[Comments]])/Posts[[#This Row],[Impressions]]</f>
        <v>8.5718231771681114E-2</v>
      </c>
    </row>
    <row r="180" spans="1:14" x14ac:dyDescent="0.25">
      <c r="A180" s="3" t="s">
        <v>284</v>
      </c>
      <c r="B180" s="3" t="s">
        <v>16</v>
      </c>
      <c r="C180" s="6">
        <v>45698</v>
      </c>
      <c r="D180" s="3" t="s">
        <v>29</v>
      </c>
      <c r="E180" s="3" t="s">
        <v>346</v>
      </c>
      <c r="F180" s="3" t="s">
        <v>347</v>
      </c>
      <c r="G180" s="14">
        <v>16309</v>
      </c>
      <c r="H180" s="14">
        <v>1449</v>
      </c>
      <c r="I180" s="14">
        <v>838</v>
      </c>
      <c r="J180" s="14">
        <v>2434</v>
      </c>
      <c r="K180" s="14">
        <v>2940</v>
      </c>
      <c r="L180" s="14">
        <v>217953</v>
      </c>
      <c r="M180" s="3" t="s">
        <v>24</v>
      </c>
      <c r="N180" s="10">
        <f>SUM(Posts[[#This Row],[Likes]],Posts[[#This Row],[Shares]],Posts[[#This Row],[Comments]])/Posts[[#This Row],[Impressions]]</f>
        <v>8.5321147219813445E-2</v>
      </c>
    </row>
    <row r="181" spans="1:14" x14ac:dyDescent="0.25">
      <c r="A181" s="3" t="s">
        <v>49</v>
      </c>
      <c r="B181" s="3" t="s">
        <v>16</v>
      </c>
      <c r="C181" s="6">
        <v>45909</v>
      </c>
      <c r="D181" s="3" t="s">
        <v>23</v>
      </c>
      <c r="E181" s="3" t="s">
        <v>354</v>
      </c>
      <c r="F181" s="3" t="s">
        <v>355</v>
      </c>
      <c r="G181" s="14">
        <v>15772</v>
      </c>
      <c r="H181" s="14">
        <v>288</v>
      </c>
      <c r="I181" s="14">
        <v>520</v>
      </c>
      <c r="J181" s="14">
        <v>1585</v>
      </c>
      <c r="K181" s="14">
        <v>59182</v>
      </c>
      <c r="L181" s="14">
        <v>194351</v>
      </c>
      <c r="M181" s="3" t="s">
        <v>17</v>
      </c>
      <c r="N181" s="10">
        <f>SUM(Posts[[#This Row],[Likes]],Posts[[#This Row],[Shares]],Posts[[#This Row],[Comments]])/Posts[[#This Row],[Impressions]]</f>
        <v>8.5309568769905988E-2</v>
      </c>
    </row>
    <row r="182" spans="1:14" x14ac:dyDescent="0.25">
      <c r="A182" s="3" t="s">
        <v>238</v>
      </c>
      <c r="B182" s="3" t="s">
        <v>19</v>
      </c>
      <c r="C182" s="6">
        <v>45778</v>
      </c>
      <c r="D182" s="3" t="s">
        <v>20</v>
      </c>
      <c r="E182" s="3" t="s">
        <v>356</v>
      </c>
      <c r="F182" s="3" t="s">
        <v>357</v>
      </c>
      <c r="G182" s="14">
        <v>10258</v>
      </c>
      <c r="H182" s="14">
        <v>527</v>
      </c>
      <c r="I182" s="14">
        <v>854</v>
      </c>
      <c r="J182" s="14">
        <v>2068</v>
      </c>
      <c r="K182" s="14">
        <v>45632</v>
      </c>
      <c r="L182" s="14">
        <v>136546</v>
      </c>
      <c r="M182" s="3" t="s">
        <v>37</v>
      </c>
      <c r="N182" s="10">
        <f>SUM(Posts[[#This Row],[Likes]],Posts[[#This Row],[Shares]],Posts[[#This Row],[Comments]])/Posts[[#This Row],[Impressions]]</f>
        <v>8.5238674146441498E-2</v>
      </c>
    </row>
    <row r="183" spans="1:14" x14ac:dyDescent="0.25">
      <c r="A183" s="3" t="s">
        <v>280</v>
      </c>
      <c r="B183" s="3" t="s">
        <v>19</v>
      </c>
      <c r="C183" s="6">
        <v>45750</v>
      </c>
      <c r="D183" s="3" t="s">
        <v>13</v>
      </c>
      <c r="E183" s="3" t="s">
        <v>360</v>
      </c>
      <c r="F183" s="3" t="s">
        <v>361</v>
      </c>
      <c r="G183" s="14">
        <v>10837</v>
      </c>
      <c r="H183" s="14">
        <v>1004</v>
      </c>
      <c r="I183" s="14">
        <v>922</v>
      </c>
      <c r="J183" s="14">
        <v>1108</v>
      </c>
      <c r="K183" s="14">
        <v>36807</v>
      </c>
      <c r="L183" s="14">
        <v>150350</v>
      </c>
      <c r="M183" s="3" t="s">
        <v>21</v>
      </c>
      <c r="N183" s="10">
        <f>SUM(Posts[[#This Row],[Likes]],Posts[[#This Row],[Shares]],Posts[[#This Row],[Comments]])/Posts[[#This Row],[Impressions]]</f>
        <v>8.4888593282341204E-2</v>
      </c>
    </row>
    <row r="184" spans="1:14" x14ac:dyDescent="0.25">
      <c r="A184" s="3" t="s">
        <v>30</v>
      </c>
      <c r="B184" s="3" t="s">
        <v>19</v>
      </c>
      <c r="C184" s="6">
        <v>45486</v>
      </c>
      <c r="D184" s="3" t="s">
        <v>23</v>
      </c>
      <c r="E184" s="3" t="s">
        <v>354</v>
      </c>
      <c r="F184" s="3" t="s">
        <v>355</v>
      </c>
      <c r="G184" s="14">
        <v>18639</v>
      </c>
      <c r="H184" s="14">
        <v>1360</v>
      </c>
      <c r="I184" s="14">
        <v>898</v>
      </c>
      <c r="J184" s="14">
        <v>2011</v>
      </c>
      <c r="K184" s="14">
        <v>42841</v>
      </c>
      <c r="L184" s="14">
        <v>247779</v>
      </c>
      <c r="M184" s="3" t="s">
        <v>24</v>
      </c>
      <c r="N184" s="10">
        <f>SUM(Posts[[#This Row],[Likes]],Posts[[#This Row],[Shares]],Posts[[#This Row],[Comments]])/Posts[[#This Row],[Impressions]]</f>
        <v>8.4337252148083575E-2</v>
      </c>
    </row>
    <row r="185" spans="1:14" x14ac:dyDescent="0.25">
      <c r="A185" s="3" t="s">
        <v>240</v>
      </c>
      <c r="B185" s="3" t="s">
        <v>12</v>
      </c>
      <c r="C185" s="6">
        <v>45925</v>
      </c>
      <c r="D185" s="3" t="s">
        <v>23</v>
      </c>
      <c r="E185" s="3" t="s">
        <v>359</v>
      </c>
      <c r="F185" s="3" t="s">
        <v>27</v>
      </c>
      <c r="G185" s="14">
        <v>8371</v>
      </c>
      <c r="H185" s="14">
        <v>960</v>
      </c>
      <c r="I185" s="14">
        <v>548</v>
      </c>
      <c r="J185" s="14">
        <v>2936</v>
      </c>
      <c r="K185" s="14">
        <v>82543</v>
      </c>
      <c r="L185" s="14">
        <v>119973</v>
      </c>
      <c r="M185" s="3" t="s">
        <v>17</v>
      </c>
      <c r="N185" s="10">
        <f>SUM(Posts[[#This Row],[Likes]],Posts[[#This Row],[Shares]],Posts[[#This Row],[Comments]])/Posts[[#This Row],[Impressions]]</f>
        <v>8.2343527293641069E-2</v>
      </c>
    </row>
    <row r="186" spans="1:14" x14ac:dyDescent="0.25">
      <c r="A186" s="3" t="s">
        <v>142</v>
      </c>
      <c r="B186" s="3" t="s">
        <v>19</v>
      </c>
      <c r="C186" s="6">
        <v>45600</v>
      </c>
      <c r="D186" s="3" t="s">
        <v>13</v>
      </c>
      <c r="E186" s="3" t="s">
        <v>350</v>
      </c>
      <c r="F186" s="3" t="s">
        <v>358</v>
      </c>
      <c r="G186" s="14">
        <v>14015</v>
      </c>
      <c r="H186" s="14">
        <v>978</v>
      </c>
      <c r="I186" s="14">
        <v>196</v>
      </c>
      <c r="J186" s="14">
        <v>2744</v>
      </c>
      <c r="K186" s="14">
        <v>20190</v>
      </c>
      <c r="L186" s="14">
        <v>186470</v>
      </c>
      <c r="M186" s="3" t="s">
        <v>21</v>
      </c>
      <c r="N186" s="10">
        <f>SUM(Posts[[#This Row],[Likes]],Posts[[#This Row],[Shares]],Posts[[#This Row],[Comments]])/Posts[[#This Row],[Impressions]]</f>
        <v>8.1455462004611998E-2</v>
      </c>
    </row>
    <row r="187" spans="1:14" x14ac:dyDescent="0.25">
      <c r="A187" s="3" t="s">
        <v>201</v>
      </c>
      <c r="B187" s="3" t="s">
        <v>33</v>
      </c>
      <c r="C187" s="6">
        <v>45939</v>
      </c>
      <c r="D187" s="3" t="s">
        <v>29</v>
      </c>
      <c r="E187" s="3" t="s">
        <v>348</v>
      </c>
      <c r="F187" s="3" t="s">
        <v>349</v>
      </c>
      <c r="G187" s="14">
        <v>18748</v>
      </c>
      <c r="H187" s="14">
        <v>634</v>
      </c>
      <c r="I187" s="14">
        <v>400</v>
      </c>
      <c r="J187" s="14">
        <v>1667</v>
      </c>
      <c r="K187" s="14">
        <v>75813</v>
      </c>
      <c r="L187" s="14">
        <v>244456</v>
      </c>
      <c r="M187" s="3" t="s">
        <v>17</v>
      </c>
      <c r="N187" s="10">
        <f>SUM(Posts[[#This Row],[Likes]],Posts[[#This Row],[Shares]],Posts[[#This Row],[Comments]])/Posts[[#This Row],[Impressions]]</f>
        <v>8.0922538207284747E-2</v>
      </c>
    </row>
    <row r="188" spans="1:14" x14ac:dyDescent="0.25">
      <c r="A188" s="3" t="s">
        <v>200</v>
      </c>
      <c r="B188" s="3" t="s">
        <v>16</v>
      </c>
      <c r="C188" s="6">
        <v>45938</v>
      </c>
      <c r="D188" s="3" t="s">
        <v>20</v>
      </c>
      <c r="E188" s="3" t="s">
        <v>350</v>
      </c>
      <c r="F188" s="3" t="s">
        <v>358</v>
      </c>
      <c r="G188" s="14">
        <v>17745</v>
      </c>
      <c r="H188" s="14">
        <v>414</v>
      </c>
      <c r="I188" s="14">
        <v>563</v>
      </c>
      <c r="J188" s="14">
        <v>2733</v>
      </c>
      <c r="K188" s="14">
        <v>995</v>
      </c>
      <c r="L188" s="14">
        <v>231648</v>
      </c>
      <c r="M188" s="3" t="s">
        <v>17</v>
      </c>
      <c r="N188" s="10">
        <f>SUM(Posts[[#This Row],[Likes]],Posts[[#This Row],[Shares]],Posts[[#This Row],[Comments]])/Posts[[#This Row],[Impressions]]</f>
        <v>8.0820900676889074E-2</v>
      </c>
    </row>
    <row r="189" spans="1:14" x14ac:dyDescent="0.25">
      <c r="A189" s="3" t="s">
        <v>237</v>
      </c>
      <c r="B189" s="3" t="s">
        <v>12</v>
      </c>
      <c r="C189" s="6">
        <v>45719</v>
      </c>
      <c r="D189" s="3" t="s">
        <v>23</v>
      </c>
      <c r="E189" s="3" t="s">
        <v>344</v>
      </c>
      <c r="F189" s="3" t="s">
        <v>345</v>
      </c>
      <c r="G189" s="14">
        <v>9561</v>
      </c>
      <c r="H189" s="14">
        <v>642</v>
      </c>
      <c r="I189" s="14">
        <v>581</v>
      </c>
      <c r="J189" s="14">
        <v>2572</v>
      </c>
      <c r="K189" s="14">
        <v>38552</v>
      </c>
      <c r="L189" s="14">
        <v>133680</v>
      </c>
      <c r="M189" s="3" t="s">
        <v>14</v>
      </c>
      <c r="N189" s="10">
        <f>SUM(Posts[[#This Row],[Likes]],Posts[[#This Row],[Shares]],Posts[[#This Row],[Comments]])/Posts[[#This Row],[Impressions]]</f>
        <v>8.0670257330939563E-2</v>
      </c>
    </row>
    <row r="190" spans="1:14" x14ac:dyDescent="0.25">
      <c r="A190" s="3" t="s">
        <v>197</v>
      </c>
      <c r="B190" s="3" t="s">
        <v>19</v>
      </c>
      <c r="C190" s="6">
        <v>45518</v>
      </c>
      <c r="D190" s="3" t="s">
        <v>29</v>
      </c>
      <c r="E190" s="3" t="s">
        <v>360</v>
      </c>
      <c r="F190" s="3" t="s">
        <v>361</v>
      </c>
      <c r="G190" s="14">
        <v>10150</v>
      </c>
      <c r="H190" s="14">
        <v>526</v>
      </c>
      <c r="I190" s="14">
        <v>888</v>
      </c>
      <c r="J190" s="14">
        <v>1313</v>
      </c>
      <c r="K190" s="14">
        <v>51605</v>
      </c>
      <c r="L190" s="14">
        <v>143409</v>
      </c>
      <c r="M190" s="3" t="s">
        <v>14</v>
      </c>
      <c r="N190" s="10">
        <f>SUM(Posts[[#This Row],[Likes]],Posts[[#This Row],[Shares]],Posts[[#This Row],[Comments]])/Posts[[#This Row],[Impressions]]</f>
        <v>8.0636501195880311E-2</v>
      </c>
    </row>
    <row r="191" spans="1:14" x14ac:dyDescent="0.25">
      <c r="A191" s="3" t="s">
        <v>216</v>
      </c>
      <c r="B191" s="3" t="s">
        <v>12</v>
      </c>
      <c r="C191" s="6">
        <v>45944</v>
      </c>
      <c r="D191" s="3" t="s">
        <v>29</v>
      </c>
      <c r="E191" s="3" t="s">
        <v>359</v>
      </c>
      <c r="F191" s="3" t="s">
        <v>27</v>
      </c>
      <c r="G191" s="14">
        <v>9673</v>
      </c>
      <c r="H191" s="14">
        <v>393</v>
      </c>
      <c r="I191" s="14">
        <v>846</v>
      </c>
      <c r="J191" s="14">
        <v>1028</v>
      </c>
      <c r="K191" s="14">
        <v>55556</v>
      </c>
      <c r="L191" s="14">
        <v>136652</v>
      </c>
      <c r="M191" s="3" t="s">
        <v>17</v>
      </c>
      <c r="N191" s="10">
        <f>SUM(Posts[[#This Row],[Likes]],Posts[[#This Row],[Shares]],Posts[[#This Row],[Comments]])/Posts[[#This Row],[Impressions]]</f>
        <v>7.9852471972601938E-2</v>
      </c>
    </row>
    <row r="192" spans="1:14" x14ac:dyDescent="0.25">
      <c r="A192" s="3" t="s">
        <v>252</v>
      </c>
      <c r="B192" s="3" t="s">
        <v>19</v>
      </c>
      <c r="C192" s="6">
        <v>45455</v>
      </c>
      <c r="D192" s="3" t="s">
        <v>20</v>
      </c>
      <c r="E192" s="3" t="s">
        <v>346</v>
      </c>
      <c r="F192" s="3" t="s">
        <v>347</v>
      </c>
      <c r="G192" s="14">
        <v>17679</v>
      </c>
      <c r="H192" s="14">
        <v>690</v>
      </c>
      <c r="I192" s="14">
        <v>451</v>
      </c>
      <c r="J192" s="14">
        <v>2195</v>
      </c>
      <c r="K192" s="14">
        <v>4390</v>
      </c>
      <c r="L192" s="14">
        <v>235804</v>
      </c>
      <c r="M192" s="3" t="s">
        <v>37</v>
      </c>
      <c r="N192" s="10">
        <f>SUM(Posts[[#This Row],[Likes]],Posts[[#This Row],[Shares]],Posts[[#This Row],[Comments]])/Posts[[#This Row],[Impressions]]</f>
        <v>7.9812047293514959E-2</v>
      </c>
    </row>
    <row r="193" spans="1:14" x14ac:dyDescent="0.25">
      <c r="A193" s="3" t="s">
        <v>292</v>
      </c>
      <c r="B193" s="3" t="s">
        <v>16</v>
      </c>
      <c r="C193" s="6">
        <v>45569</v>
      </c>
      <c r="D193" s="3" t="s">
        <v>23</v>
      </c>
      <c r="E193" s="3" t="s">
        <v>350</v>
      </c>
      <c r="F193" s="3" t="s">
        <v>358</v>
      </c>
      <c r="G193" s="14">
        <v>15746</v>
      </c>
      <c r="H193" s="14">
        <v>258</v>
      </c>
      <c r="I193" s="14">
        <v>839</v>
      </c>
      <c r="J193" s="14">
        <v>2656</v>
      </c>
      <c r="K193" s="14">
        <v>66614</v>
      </c>
      <c r="L193" s="14">
        <v>213724</v>
      </c>
      <c r="M193" s="3" t="s">
        <v>21</v>
      </c>
      <c r="N193" s="10">
        <f>SUM(Posts[[#This Row],[Likes]],Posts[[#This Row],[Shares]],Posts[[#This Row],[Comments]])/Posts[[#This Row],[Impressions]]</f>
        <v>7.8807246729426739E-2</v>
      </c>
    </row>
    <row r="194" spans="1:14" x14ac:dyDescent="0.25">
      <c r="A194" s="3" t="s">
        <v>84</v>
      </c>
      <c r="B194" s="3" t="s">
        <v>12</v>
      </c>
      <c r="C194" s="6">
        <v>45465</v>
      </c>
      <c r="D194" s="3" t="s">
        <v>13</v>
      </c>
      <c r="E194" s="3" t="s">
        <v>354</v>
      </c>
      <c r="F194" s="3" t="s">
        <v>355</v>
      </c>
      <c r="G194" s="14">
        <v>16430</v>
      </c>
      <c r="H194" s="14">
        <v>488</v>
      </c>
      <c r="I194" s="14">
        <v>514</v>
      </c>
      <c r="J194" s="14">
        <v>1436</v>
      </c>
      <c r="K194" s="14">
        <v>30059</v>
      </c>
      <c r="L194" s="14">
        <v>223305</v>
      </c>
      <c r="M194" s="3" t="s">
        <v>24</v>
      </c>
      <c r="N194" s="10">
        <f>SUM(Posts[[#This Row],[Likes]],Posts[[#This Row],[Shares]],Posts[[#This Row],[Comments]])/Posts[[#This Row],[Impressions]]</f>
        <v>7.8063634938760881E-2</v>
      </c>
    </row>
    <row r="195" spans="1:14" x14ac:dyDescent="0.25">
      <c r="A195" s="3" t="s">
        <v>149</v>
      </c>
      <c r="B195" s="3" t="s">
        <v>12</v>
      </c>
      <c r="C195" s="6">
        <v>45753</v>
      </c>
      <c r="D195" s="3" t="s">
        <v>20</v>
      </c>
      <c r="E195" s="3" t="s">
        <v>359</v>
      </c>
      <c r="F195" s="3" t="s">
        <v>27</v>
      </c>
      <c r="G195" s="14">
        <v>8238</v>
      </c>
      <c r="H195" s="14">
        <v>766</v>
      </c>
      <c r="I195" s="14">
        <v>235</v>
      </c>
      <c r="J195" s="14">
        <v>1273</v>
      </c>
      <c r="K195" s="14">
        <v>4706</v>
      </c>
      <c r="L195" s="14">
        <v>119141</v>
      </c>
      <c r="M195" s="3" t="s">
        <v>24</v>
      </c>
      <c r="N195" s="10">
        <f>SUM(Posts[[#This Row],[Likes]],Posts[[#This Row],[Shares]],Posts[[#This Row],[Comments]])/Posts[[#This Row],[Impressions]]</f>
        <v>7.7546772311798629E-2</v>
      </c>
    </row>
    <row r="196" spans="1:14" x14ac:dyDescent="0.25">
      <c r="A196" s="3" t="s">
        <v>126</v>
      </c>
      <c r="B196" s="3" t="s">
        <v>12</v>
      </c>
      <c r="C196" s="6">
        <v>45583</v>
      </c>
      <c r="D196" s="3" t="s">
        <v>29</v>
      </c>
      <c r="E196" s="3" t="s">
        <v>346</v>
      </c>
      <c r="F196" s="3" t="s">
        <v>347</v>
      </c>
      <c r="G196" s="14">
        <v>6892</v>
      </c>
      <c r="H196" s="14">
        <v>1184</v>
      </c>
      <c r="I196" s="14">
        <v>925</v>
      </c>
      <c r="J196" s="14">
        <v>1062</v>
      </c>
      <c r="K196" s="14">
        <v>75008</v>
      </c>
      <c r="L196" s="14">
        <v>116260</v>
      </c>
      <c r="M196" s="3" t="s">
        <v>37</v>
      </c>
      <c r="N196" s="10">
        <f>SUM(Posts[[#This Row],[Likes]],Posts[[#This Row],[Shares]],Posts[[#This Row],[Comments]])/Posts[[#This Row],[Impressions]]</f>
        <v>7.7421297092723204E-2</v>
      </c>
    </row>
    <row r="197" spans="1:14" x14ac:dyDescent="0.25">
      <c r="A197" s="3" t="s">
        <v>303</v>
      </c>
      <c r="B197" s="3" t="s">
        <v>33</v>
      </c>
      <c r="C197" s="6">
        <v>45622</v>
      </c>
      <c r="D197" s="3" t="s">
        <v>23</v>
      </c>
      <c r="E197" s="3" t="s">
        <v>352</v>
      </c>
      <c r="F197" s="3" t="s">
        <v>353</v>
      </c>
      <c r="G197" s="14">
        <v>14607</v>
      </c>
      <c r="H197" s="14">
        <v>1458</v>
      </c>
      <c r="I197" s="14">
        <v>478</v>
      </c>
      <c r="J197" s="14">
        <v>334</v>
      </c>
      <c r="K197" s="14">
        <v>49257</v>
      </c>
      <c r="L197" s="14">
        <v>214668</v>
      </c>
      <c r="M197" s="3" t="s">
        <v>24</v>
      </c>
      <c r="N197" s="10">
        <f>SUM(Posts[[#This Row],[Likes]],Posts[[#This Row],[Shares]],Posts[[#This Row],[Comments]])/Posts[[#This Row],[Impressions]]</f>
        <v>7.7063185942944451E-2</v>
      </c>
    </row>
    <row r="198" spans="1:14" x14ac:dyDescent="0.25">
      <c r="A198" s="3" t="s">
        <v>34</v>
      </c>
      <c r="B198" s="3" t="s">
        <v>12</v>
      </c>
      <c r="C198" s="6">
        <v>45690</v>
      </c>
      <c r="D198" s="3" t="s">
        <v>29</v>
      </c>
      <c r="E198" s="3" t="s">
        <v>350</v>
      </c>
      <c r="F198" s="3" t="s">
        <v>351</v>
      </c>
      <c r="G198" s="14">
        <v>12136</v>
      </c>
      <c r="H198" s="14">
        <v>1117</v>
      </c>
      <c r="I198" s="14">
        <v>834</v>
      </c>
      <c r="J198" s="14">
        <v>892</v>
      </c>
      <c r="K198" s="14">
        <v>24675</v>
      </c>
      <c r="L198" s="14">
        <v>183273</v>
      </c>
      <c r="M198" s="3" t="s">
        <v>21</v>
      </c>
      <c r="N198" s="10">
        <f>SUM(Posts[[#This Row],[Likes]],Posts[[#This Row],[Shares]],Posts[[#This Row],[Comments]])/Posts[[#This Row],[Impressions]]</f>
        <v>7.6863476889667326E-2</v>
      </c>
    </row>
    <row r="199" spans="1:14" x14ac:dyDescent="0.25">
      <c r="A199" s="3" t="s">
        <v>302</v>
      </c>
      <c r="B199" s="3" t="s">
        <v>19</v>
      </c>
      <c r="C199" s="6">
        <v>45753</v>
      </c>
      <c r="D199" s="3" t="s">
        <v>13</v>
      </c>
      <c r="E199" s="3" t="s">
        <v>54</v>
      </c>
      <c r="F199" s="3"/>
      <c r="G199" s="14">
        <v>14941</v>
      </c>
      <c r="H199" s="14">
        <v>1424</v>
      </c>
      <c r="I199" s="14">
        <v>238</v>
      </c>
      <c r="J199" s="14">
        <v>1054</v>
      </c>
      <c r="K199" s="14">
        <v>20516</v>
      </c>
      <c r="L199" s="14">
        <v>216048</v>
      </c>
      <c r="M199" s="3" t="s">
        <v>37</v>
      </c>
      <c r="N199" s="10">
        <f>SUM(Posts[[#This Row],[Likes]],Posts[[#This Row],[Shares]],Posts[[#This Row],[Comments]])/Posts[[#This Row],[Impressions]]</f>
        <v>7.6848663260016298E-2</v>
      </c>
    </row>
    <row r="200" spans="1:14" x14ac:dyDescent="0.25">
      <c r="A200" s="3" t="s">
        <v>141</v>
      </c>
      <c r="B200" s="3" t="s">
        <v>16</v>
      </c>
      <c r="C200" s="6">
        <v>45734</v>
      </c>
      <c r="D200" s="3" t="s">
        <v>13</v>
      </c>
      <c r="E200" s="3" t="s">
        <v>354</v>
      </c>
      <c r="F200" s="3" t="s">
        <v>355</v>
      </c>
      <c r="G200" s="14">
        <v>5818</v>
      </c>
      <c r="H200" s="14">
        <v>1252</v>
      </c>
      <c r="I200" s="14">
        <v>687</v>
      </c>
      <c r="J200" s="14">
        <v>2300</v>
      </c>
      <c r="K200" s="14">
        <v>25081</v>
      </c>
      <c r="L200" s="14">
        <v>101212</v>
      </c>
      <c r="M200" s="3" t="s">
        <v>37</v>
      </c>
      <c r="N200" s="10">
        <f>SUM(Posts[[#This Row],[Likes]],Posts[[#This Row],[Shares]],Posts[[#This Row],[Comments]])/Posts[[#This Row],[Impressions]]</f>
        <v>7.6641109749832043E-2</v>
      </c>
    </row>
    <row r="201" spans="1:14" x14ac:dyDescent="0.25">
      <c r="A201" s="3" t="s">
        <v>137</v>
      </c>
      <c r="B201" s="3" t="s">
        <v>12</v>
      </c>
      <c r="C201" s="6">
        <v>45570</v>
      </c>
      <c r="D201" s="3" t="s">
        <v>29</v>
      </c>
      <c r="E201" s="3" t="s">
        <v>346</v>
      </c>
      <c r="F201" s="3" t="s">
        <v>347</v>
      </c>
      <c r="G201" s="14">
        <v>16388</v>
      </c>
      <c r="H201" s="14">
        <v>1208</v>
      </c>
      <c r="I201" s="14">
        <v>417</v>
      </c>
      <c r="J201" s="14">
        <v>2306</v>
      </c>
      <c r="K201" s="14">
        <v>16865</v>
      </c>
      <c r="L201" s="14">
        <v>236733</v>
      </c>
      <c r="M201" s="3" t="s">
        <v>14</v>
      </c>
      <c r="N201" s="10">
        <f>SUM(Posts[[#This Row],[Likes]],Posts[[#This Row],[Shares]],Posts[[#This Row],[Comments]])/Posts[[#This Row],[Impressions]]</f>
        <v>7.6089940988370866E-2</v>
      </c>
    </row>
    <row r="202" spans="1:14" x14ac:dyDescent="0.25">
      <c r="A202" s="3" t="s">
        <v>236</v>
      </c>
      <c r="B202" s="3" t="s">
        <v>12</v>
      </c>
      <c r="C202" s="6">
        <v>45924</v>
      </c>
      <c r="D202" s="3" t="s">
        <v>13</v>
      </c>
      <c r="E202" s="3" t="s">
        <v>54</v>
      </c>
      <c r="F202" s="3"/>
      <c r="G202" s="14">
        <v>11795</v>
      </c>
      <c r="H202" s="14">
        <v>958</v>
      </c>
      <c r="I202" s="14">
        <v>814</v>
      </c>
      <c r="J202" s="14">
        <v>301</v>
      </c>
      <c r="K202" s="14">
        <v>12564</v>
      </c>
      <c r="L202" s="14">
        <v>179999</v>
      </c>
      <c r="M202" s="3" t="s">
        <v>17</v>
      </c>
      <c r="N202" s="10">
        <f>SUM(Posts[[#This Row],[Likes]],Posts[[#This Row],[Shares]],Posts[[#This Row],[Comments]])/Posts[[#This Row],[Impressions]]</f>
        <v>7.5372640959116444E-2</v>
      </c>
    </row>
    <row r="203" spans="1:14" x14ac:dyDescent="0.25">
      <c r="A203" s="3" t="s">
        <v>258</v>
      </c>
      <c r="B203" s="3" t="s">
        <v>16</v>
      </c>
      <c r="C203" s="6">
        <v>45724</v>
      </c>
      <c r="D203" s="3" t="s">
        <v>13</v>
      </c>
      <c r="E203" s="3" t="s">
        <v>344</v>
      </c>
      <c r="F203" s="3" t="s">
        <v>345</v>
      </c>
      <c r="G203" s="14">
        <v>5812</v>
      </c>
      <c r="H203" s="14">
        <v>934</v>
      </c>
      <c r="I203" s="14">
        <v>302</v>
      </c>
      <c r="J203" s="14">
        <v>2356</v>
      </c>
      <c r="K203" s="14">
        <v>37437</v>
      </c>
      <c r="L203" s="14">
        <v>93551</v>
      </c>
      <c r="M203" s="3" t="s">
        <v>14</v>
      </c>
      <c r="N203" s="10">
        <f>SUM(Posts[[#This Row],[Likes]],Posts[[#This Row],[Shares]],Posts[[#This Row],[Comments]])/Posts[[#This Row],[Impressions]]</f>
        <v>7.5338585370546551E-2</v>
      </c>
    </row>
    <row r="204" spans="1:14" x14ac:dyDescent="0.25">
      <c r="A204" s="3" t="s">
        <v>264</v>
      </c>
      <c r="B204" s="3" t="s">
        <v>12</v>
      </c>
      <c r="C204" s="6">
        <v>45910</v>
      </c>
      <c r="D204" s="3" t="s">
        <v>13</v>
      </c>
      <c r="E204" s="3" t="s">
        <v>346</v>
      </c>
      <c r="F204" s="3" t="s">
        <v>347</v>
      </c>
      <c r="G204" s="14">
        <v>13613</v>
      </c>
      <c r="H204" s="14">
        <v>350</v>
      </c>
      <c r="I204" s="14">
        <v>809</v>
      </c>
      <c r="J204" s="14">
        <v>2013</v>
      </c>
      <c r="K204" s="14">
        <v>20471</v>
      </c>
      <c r="L204" s="14">
        <v>198038</v>
      </c>
      <c r="M204" s="3" t="s">
        <v>17</v>
      </c>
      <c r="N204" s="10">
        <f>SUM(Posts[[#This Row],[Likes]],Posts[[#This Row],[Shares]],Posts[[#This Row],[Comments]])/Posts[[#This Row],[Impressions]]</f>
        <v>7.4591745018632791E-2</v>
      </c>
    </row>
    <row r="205" spans="1:14" x14ac:dyDescent="0.25">
      <c r="A205" s="3" t="s">
        <v>41</v>
      </c>
      <c r="B205" s="3" t="s">
        <v>16</v>
      </c>
      <c r="C205" s="6">
        <v>45782</v>
      </c>
      <c r="D205" s="3" t="s">
        <v>20</v>
      </c>
      <c r="E205" s="3" t="s">
        <v>350</v>
      </c>
      <c r="F205" s="3" t="s">
        <v>358</v>
      </c>
      <c r="G205" s="14">
        <v>10415</v>
      </c>
      <c r="H205" s="14">
        <v>1388</v>
      </c>
      <c r="I205" s="14">
        <v>725</v>
      </c>
      <c r="J205" s="14">
        <v>2462</v>
      </c>
      <c r="K205" s="14">
        <v>53082</v>
      </c>
      <c r="L205" s="14">
        <v>168267</v>
      </c>
      <c r="M205" s="3" t="s">
        <v>37</v>
      </c>
      <c r="N205" s="10">
        <f>SUM(Posts[[#This Row],[Likes]],Posts[[#This Row],[Shares]],Posts[[#This Row],[Comments]])/Posts[[#This Row],[Impressions]]</f>
        <v>7.4453101321114656E-2</v>
      </c>
    </row>
    <row r="206" spans="1:14" x14ac:dyDescent="0.25">
      <c r="A206" s="3" t="s">
        <v>277</v>
      </c>
      <c r="B206" s="3" t="s">
        <v>19</v>
      </c>
      <c r="C206" s="6">
        <v>45775</v>
      </c>
      <c r="D206" s="3" t="s">
        <v>29</v>
      </c>
      <c r="E206" s="3" t="s">
        <v>350</v>
      </c>
      <c r="F206" s="3" t="s">
        <v>358</v>
      </c>
      <c r="G206" s="14">
        <v>10659</v>
      </c>
      <c r="H206" s="14">
        <v>1342</v>
      </c>
      <c r="I206" s="14">
        <v>408</v>
      </c>
      <c r="J206" s="14">
        <v>709</v>
      </c>
      <c r="K206" s="14">
        <v>16309</v>
      </c>
      <c r="L206" s="14">
        <v>168803</v>
      </c>
      <c r="M206" s="3" t="s">
        <v>21</v>
      </c>
      <c r="N206" s="10">
        <f>SUM(Posts[[#This Row],[Likes]],Posts[[#This Row],[Shares]],Posts[[#This Row],[Comments]])/Posts[[#This Row],[Impressions]]</f>
        <v>7.3511726687321907E-2</v>
      </c>
    </row>
    <row r="207" spans="1:14" x14ac:dyDescent="0.25">
      <c r="A207" s="3" t="s">
        <v>234</v>
      </c>
      <c r="B207" s="3" t="s">
        <v>33</v>
      </c>
      <c r="C207" s="6">
        <v>45735</v>
      </c>
      <c r="D207" s="3" t="s">
        <v>29</v>
      </c>
      <c r="E207" s="3" t="s">
        <v>350</v>
      </c>
      <c r="F207" s="3" t="s">
        <v>351</v>
      </c>
      <c r="G207" s="14">
        <v>13475</v>
      </c>
      <c r="H207" s="14">
        <v>1032</v>
      </c>
      <c r="I207" s="14">
        <v>295</v>
      </c>
      <c r="J207" s="14">
        <v>541</v>
      </c>
      <c r="K207" s="14">
        <v>43666</v>
      </c>
      <c r="L207" s="14">
        <v>202396</v>
      </c>
      <c r="M207" s="3" t="s">
        <v>37</v>
      </c>
      <c r="N207" s="10">
        <f>SUM(Posts[[#This Row],[Likes]],Posts[[#This Row],[Shares]],Posts[[#This Row],[Comments]])/Posts[[#This Row],[Impressions]]</f>
        <v>7.3133856400324118E-2</v>
      </c>
    </row>
    <row r="208" spans="1:14" x14ac:dyDescent="0.25">
      <c r="A208" s="3" t="s">
        <v>42</v>
      </c>
      <c r="B208" s="3" t="s">
        <v>16</v>
      </c>
      <c r="C208" s="6">
        <v>45523</v>
      </c>
      <c r="D208" s="3" t="s">
        <v>13</v>
      </c>
      <c r="E208" s="3" t="s">
        <v>354</v>
      </c>
      <c r="F208" s="3" t="s">
        <v>355</v>
      </c>
      <c r="G208" s="14">
        <v>15550</v>
      </c>
      <c r="H208" s="14">
        <v>204</v>
      </c>
      <c r="I208" s="14">
        <v>279</v>
      </c>
      <c r="J208" s="14">
        <v>1646</v>
      </c>
      <c r="K208" s="14">
        <v>35819</v>
      </c>
      <c r="L208" s="14">
        <v>219436</v>
      </c>
      <c r="M208" s="3" t="s">
        <v>14</v>
      </c>
      <c r="N208" s="10">
        <f>SUM(Posts[[#This Row],[Likes]],Posts[[#This Row],[Shares]],Posts[[#This Row],[Comments]])/Posts[[#This Row],[Impressions]]</f>
        <v>7.306458375107093E-2</v>
      </c>
    </row>
    <row r="209" spans="1:14" x14ac:dyDescent="0.25">
      <c r="A209" s="3" t="s">
        <v>254</v>
      </c>
      <c r="B209" s="3" t="s">
        <v>19</v>
      </c>
      <c r="C209" s="6">
        <v>45476</v>
      </c>
      <c r="D209" s="3" t="s">
        <v>23</v>
      </c>
      <c r="E209" s="3" t="s">
        <v>346</v>
      </c>
      <c r="F209" s="3" t="s">
        <v>347</v>
      </c>
      <c r="G209" s="14">
        <v>12167</v>
      </c>
      <c r="H209" s="14">
        <v>364</v>
      </c>
      <c r="I209" s="14">
        <v>160</v>
      </c>
      <c r="J209" s="14">
        <v>616</v>
      </c>
      <c r="K209" s="14">
        <v>42228</v>
      </c>
      <c r="L209" s="14">
        <v>175832</v>
      </c>
      <c r="M209" s="3" t="s">
        <v>21</v>
      </c>
      <c r="N209" s="10">
        <f>SUM(Posts[[#This Row],[Likes]],Posts[[#This Row],[Shares]],Posts[[#This Row],[Comments]])/Posts[[#This Row],[Impressions]]</f>
        <v>7.2176850630146963E-2</v>
      </c>
    </row>
    <row r="210" spans="1:14" x14ac:dyDescent="0.25">
      <c r="A210" s="3" t="s">
        <v>114</v>
      </c>
      <c r="B210" s="3" t="s">
        <v>16</v>
      </c>
      <c r="C210" s="6">
        <v>45923</v>
      </c>
      <c r="D210" s="3" t="s">
        <v>13</v>
      </c>
      <c r="E210" s="3" t="s">
        <v>360</v>
      </c>
      <c r="F210" s="3" t="s">
        <v>361</v>
      </c>
      <c r="G210" s="14">
        <v>10017</v>
      </c>
      <c r="H210" s="14">
        <v>1357</v>
      </c>
      <c r="I210" s="14">
        <v>966</v>
      </c>
      <c r="J210" s="14">
        <v>2871</v>
      </c>
      <c r="K210" s="14">
        <v>14800</v>
      </c>
      <c r="L210" s="14">
        <v>171691</v>
      </c>
      <c r="M210" s="3" t="s">
        <v>17</v>
      </c>
      <c r="N210" s="10">
        <f>SUM(Posts[[#This Row],[Likes]],Posts[[#This Row],[Shares]],Posts[[#This Row],[Comments]])/Posts[[#This Row],[Impressions]]</f>
        <v>7.1873307278774071E-2</v>
      </c>
    </row>
    <row r="211" spans="1:14" x14ac:dyDescent="0.25">
      <c r="A211" s="3" t="s">
        <v>202</v>
      </c>
      <c r="B211" s="3" t="s">
        <v>12</v>
      </c>
      <c r="C211" s="6">
        <v>45483</v>
      </c>
      <c r="D211" s="3" t="s">
        <v>13</v>
      </c>
      <c r="E211" s="3" t="s">
        <v>359</v>
      </c>
      <c r="F211" s="3" t="s">
        <v>27</v>
      </c>
      <c r="G211" s="14">
        <v>8809</v>
      </c>
      <c r="H211" s="14">
        <v>1151</v>
      </c>
      <c r="I211" s="14">
        <v>908</v>
      </c>
      <c r="J211" s="14">
        <v>883</v>
      </c>
      <c r="K211" s="14">
        <v>42921</v>
      </c>
      <c r="L211" s="14">
        <v>151279</v>
      </c>
      <c r="M211" s="3" t="s">
        <v>37</v>
      </c>
      <c r="N211" s="10">
        <f>SUM(Posts[[#This Row],[Likes]],Posts[[#This Row],[Shares]],Posts[[#This Row],[Comments]])/Posts[[#This Row],[Impressions]]</f>
        <v>7.1840771025720687E-2</v>
      </c>
    </row>
    <row r="212" spans="1:14" x14ac:dyDescent="0.25">
      <c r="A212" s="3" t="s">
        <v>217</v>
      </c>
      <c r="B212" s="3" t="s">
        <v>12</v>
      </c>
      <c r="C212" s="6">
        <v>45945</v>
      </c>
      <c r="D212" s="3" t="s">
        <v>13</v>
      </c>
      <c r="E212" s="3" t="s">
        <v>354</v>
      </c>
      <c r="F212" s="3" t="s">
        <v>355</v>
      </c>
      <c r="G212" s="14">
        <v>8882</v>
      </c>
      <c r="H212" s="14">
        <v>701</v>
      </c>
      <c r="I212" s="14">
        <v>421</v>
      </c>
      <c r="J212" s="14">
        <v>2343</v>
      </c>
      <c r="K212" s="14">
        <v>13588</v>
      </c>
      <c r="L212" s="14">
        <v>139304</v>
      </c>
      <c r="M212" s="3" t="s">
        <v>17</v>
      </c>
      <c r="N212" s="10">
        <f>SUM(Posts[[#This Row],[Likes]],Posts[[#This Row],[Shares]],Posts[[#This Row],[Comments]])/Posts[[#This Row],[Impressions]]</f>
        <v>7.1814161833113191E-2</v>
      </c>
    </row>
    <row r="213" spans="1:14" x14ac:dyDescent="0.25">
      <c r="A213" s="3" t="s">
        <v>140</v>
      </c>
      <c r="B213" s="3" t="s">
        <v>12</v>
      </c>
      <c r="C213" s="6">
        <v>45930</v>
      </c>
      <c r="D213" s="3" t="s">
        <v>20</v>
      </c>
      <c r="E213" s="3" t="s">
        <v>344</v>
      </c>
      <c r="F213" s="3" t="s">
        <v>345</v>
      </c>
      <c r="G213" s="14">
        <v>8269</v>
      </c>
      <c r="H213" s="14">
        <v>250</v>
      </c>
      <c r="I213" s="14">
        <v>638</v>
      </c>
      <c r="J213" s="14">
        <v>815</v>
      </c>
      <c r="K213" s="14">
        <v>41991</v>
      </c>
      <c r="L213" s="14">
        <v>129393</v>
      </c>
      <c r="M213" s="3" t="s">
        <v>17</v>
      </c>
      <c r="N213" s="10">
        <f>SUM(Posts[[#This Row],[Likes]],Posts[[#This Row],[Shares]],Posts[[#This Row],[Comments]])/Posts[[#This Row],[Impressions]]</f>
        <v>7.0768897853825175E-2</v>
      </c>
    </row>
    <row r="214" spans="1:14" x14ac:dyDescent="0.25">
      <c r="A214" s="3" t="s">
        <v>282</v>
      </c>
      <c r="B214" s="3" t="s">
        <v>12</v>
      </c>
      <c r="C214" s="6">
        <v>45753</v>
      </c>
      <c r="D214" s="3" t="s">
        <v>29</v>
      </c>
      <c r="E214" s="3" t="s">
        <v>350</v>
      </c>
      <c r="F214" s="3" t="s">
        <v>358</v>
      </c>
      <c r="G214" s="14">
        <v>15917</v>
      </c>
      <c r="H214" s="14">
        <v>1479</v>
      </c>
      <c r="I214" s="14">
        <v>196</v>
      </c>
      <c r="J214" s="14">
        <v>313</v>
      </c>
      <c r="K214" s="14">
        <v>48524</v>
      </c>
      <c r="L214" s="14">
        <v>249684</v>
      </c>
      <c r="M214" s="3" t="s">
        <v>24</v>
      </c>
      <c r="N214" s="10">
        <f>SUM(Posts[[#This Row],[Likes]],Posts[[#This Row],[Shares]],Posts[[#This Row],[Comments]])/Posts[[#This Row],[Impressions]]</f>
        <v>7.0457057720959296E-2</v>
      </c>
    </row>
    <row r="215" spans="1:14" x14ac:dyDescent="0.25">
      <c r="A215" s="3" t="s">
        <v>316</v>
      </c>
      <c r="B215" s="3" t="s">
        <v>19</v>
      </c>
      <c r="C215" s="6">
        <v>45602</v>
      </c>
      <c r="D215" s="3" t="s">
        <v>13</v>
      </c>
      <c r="E215" s="3" t="s">
        <v>352</v>
      </c>
      <c r="F215" s="3" t="s">
        <v>353</v>
      </c>
      <c r="G215" s="14">
        <v>11865</v>
      </c>
      <c r="H215" s="14">
        <v>241</v>
      </c>
      <c r="I215" s="14">
        <v>319</v>
      </c>
      <c r="J215" s="14">
        <v>703</v>
      </c>
      <c r="K215" s="14">
        <v>69596</v>
      </c>
      <c r="L215" s="14">
        <v>177513</v>
      </c>
      <c r="M215" s="3" t="s">
        <v>24</v>
      </c>
      <c r="N215" s="10">
        <f>SUM(Posts[[#This Row],[Likes]],Posts[[#This Row],[Shares]],Posts[[#This Row],[Comments]])/Posts[[#This Row],[Impressions]]</f>
        <v>6.999487361489018E-2</v>
      </c>
    </row>
    <row r="216" spans="1:14" x14ac:dyDescent="0.25">
      <c r="A216" s="3" t="s">
        <v>324</v>
      </c>
      <c r="B216" s="3" t="s">
        <v>19</v>
      </c>
      <c r="C216" s="6">
        <v>45925</v>
      </c>
      <c r="D216" s="3" t="s">
        <v>29</v>
      </c>
      <c r="E216" s="3" t="s">
        <v>359</v>
      </c>
      <c r="F216" s="3" t="s">
        <v>27</v>
      </c>
      <c r="G216" s="14">
        <v>12568</v>
      </c>
      <c r="H216" s="14">
        <v>541</v>
      </c>
      <c r="I216" s="14">
        <v>273</v>
      </c>
      <c r="J216" s="14">
        <v>2767</v>
      </c>
      <c r="K216" s="14">
        <v>22331</v>
      </c>
      <c r="L216" s="14">
        <v>192747</v>
      </c>
      <c r="M216" s="3" t="s">
        <v>17</v>
      </c>
      <c r="N216" s="10">
        <f>SUM(Posts[[#This Row],[Likes]],Posts[[#This Row],[Shares]],Posts[[#This Row],[Comments]])/Posts[[#This Row],[Impressions]]</f>
        <v>6.9427799135654514E-2</v>
      </c>
    </row>
    <row r="217" spans="1:14" x14ac:dyDescent="0.25">
      <c r="A217" s="3" t="s">
        <v>70</v>
      </c>
      <c r="B217" s="3" t="s">
        <v>16</v>
      </c>
      <c r="C217" s="6">
        <v>45917</v>
      </c>
      <c r="D217" s="3" t="s">
        <v>20</v>
      </c>
      <c r="E217" s="3" t="s">
        <v>352</v>
      </c>
      <c r="F217" s="3" t="s">
        <v>353</v>
      </c>
      <c r="G217" s="14">
        <v>15456</v>
      </c>
      <c r="H217" s="14">
        <v>590</v>
      </c>
      <c r="I217" s="14">
        <v>555</v>
      </c>
      <c r="J217" s="14">
        <v>2882</v>
      </c>
      <c r="K217" s="14">
        <v>49816</v>
      </c>
      <c r="L217" s="14">
        <v>240422</v>
      </c>
      <c r="M217" s="3" t="s">
        <v>17</v>
      </c>
      <c r="N217" s="10">
        <f>SUM(Posts[[#This Row],[Likes]],Posts[[#This Row],[Shares]],Posts[[#This Row],[Comments]])/Posts[[#This Row],[Impressions]]</f>
        <v>6.9049421433978589E-2</v>
      </c>
    </row>
    <row r="218" spans="1:14" x14ac:dyDescent="0.25">
      <c r="A218" s="3" t="s">
        <v>62</v>
      </c>
      <c r="B218" s="3" t="s">
        <v>16</v>
      </c>
      <c r="C218" s="6">
        <v>45663</v>
      </c>
      <c r="D218" s="3" t="s">
        <v>13</v>
      </c>
      <c r="E218" s="3" t="s">
        <v>348</v>
      </c>
      <c r="F218" s="3" t="s">
        <v>349</v>
      </c>
      <c r="G218" s="14">
        <v>11860</v>
      </c>
      <c r="H218" s="14">
        <v>1448</v>
      </c>
      <c r="I218" s="14">
        <v>893</v>
      </c>
      <c r="J218" s="14">
        <v>490</v>
      </c>
      <c r="K218" s="14">
        <v>23518</v>
      </c>
      <c r="L218" s="14">
        <v>206205</v>
      </c>
      <c r="M218" s="3" t="s">
        <v>14</v>
      </c>
      <c r="N218" s="10">
        <f>SUM(Posts[[#This Row],[Likes]],Posts[[#This Row],[Shares]],Posts[[#This Row],[Comments]])/Posts[[#This Row],[Impressions]]</f>
        <v>6.8868359157149436E-2</v>
      </c>
    </row>
    <row r="219" spans="1:14" x14ac:dyDescent="0.25">
      <c r="A219" s="3" t="s">
        <v>187</v>
      </c>
      <c r="B219" s="3" t="s">
        <v>19</v>
      </c>
      <c r="C219" s="6">
        <v>45748</v>
      </c>
      <c r="D219" s="3" t="s">
        <v>13</v>
      </c>
      <c r="E219" s="3" t="s">
        <v>352</v>
      </c>
      <c r="F219" s="3" t="s">
        <v>353</v>
      </c>
      <c r="G219" s="14">
        <v>6432</v>
      </c>
      <c r="H219" s="14">
        <v>1272</v>
      </c>
      <c r="I219" s="14">
        <v>498</v>
      </c>
      <c r="J219" s="14">
        <v>677</v>
      </c>
      <c r="K219" s="14">
        <v>47305</v>
      </c>
      <c r="L219" s="14">
        <v>119134</v>
      </c>
      <c r="M219" s="3" t="s">
        <v>14</v>
      </c>
      <c r="N219" s="10">
        <f>SUM(Posts[[#This Row],[Likes]],Posts[[#This Row],[Shares]],Posts[[#This Row],[Comments]])/Posts[[#This Row],[Impressions]]</f>
        <v>6.8846844729464299E-2</v>
      </c>
    </row>
    <row r="220" spans="1:14" x14ac:dyDescent="0.25">
      <c r="A220" s="3" t="s">
        <v>304</v>
      </c>
      <c r="B220" s="3" t="s">
        <v>19</v>
      </c>
      <c r="C220" s="6">
        <v>45537</v>
      </c>
      <c r="D220" s="3" t="s">
        <v>23</v>
      </c>
      <c r="E220" s="3" t="s">
        <v>350</v>
      </c>
      <c r="F220" s="3" t="s">
        <v>351</v>
      </c>
      <c r="G220" s="14">
        <v>11765</v>
      </c>
      <c r="H220" s="14">
        <v>693</v>
      </c>
      <c r="I220" s="14">
        <v>729</v>
      </c>
      <c r="J220" s="14">
        <v>744</v>
      </c>
      <c r="K220" s="14">
        <v>97772</v>
      </c>
      <c r="L220" s="14">
        <v>194243</v>
      </c>
      <c r="M220" s="3" t="s">
        <v>14</v>
      </c>
      <c r="N220" s="10">
        <f>SUM(Posts[[#This Row],[Likes]],Posts[[#This Row],[Shares]],Posts[[#This Row],[Comments]])/Posts[[#This Row],[Impressions]]</f>
        <v>6.7889190344053579E-2</v>
      </c>
    </row>
    <row r="221" spans="1:14" x14ac:dyDescent="0.25">
      <c r="A221" s="3" t="s">
        <v>266</v>
      </c>
      <c r="B221" s="3" t="s">
        <v>33</v>
      </c>
      <c r="C221" s="6">
        <v>45675</v>
      </c>
      <c r="D221" s="3" t="s">
        <v>20</v>
      </c>
      <c r="E221" s="3" t="s">
        <v>359</v>
      </c>
      <c r="F221" s="3" t="s">
        <v>27</v>
      </c>
      <c r="G221" s="14">
        <v>12589</v>
      </c>
      <c r="H221" s="14">
        <v>346</v>
      </c>
      <c r="I221" s="14">
        <v>459</v>
      </c>
      <c r="J221" s="14">
        <v>1407</v>
      </c>
      <c r="K221" s="14">
        <v>29254</v>
      </c>
      <c r="L221" s="14">
        <v>198059</v>
      </c>
      <c r="M221" s="3" t="s">
        <v>21</v>
      </c>
      <c r="N221" s="10">
        <f>SUM(Posts[[#This Row],[Likes]],Posts[[#This Row],[Shares]],Posts[[#This Row],[Comments]])/Posts[[#This Row],[Impressions]]</f>
        <v>6.7626313371268162E-2</v>
      </c>
    </row>
    <row r="222" spans="1:14" x14ac:dyDescent="0.25">
      <c r="A222" s="3" t="s">
        <v>136</v>
      </c>
      <c r="B222" s="3" t="s">
        <v>16</v>
      </c>
      <c r="C222" s="6">
        <v>45619</v>
      </c>
      <c r="D222" s="3" t="s">
        <v>20</v>
      </c>
      <c r="E222" s="3" t="s">
        <v>27</v>
      </c>
      <c r="F222" s="3"/>
      <c r="G222" s="14">
        <v>9941</v>
      </c>
      <c r="H222" s="14">
        <v>1329</v>
      </c>
      <c r="I222" s="14">
        <v>238</v>
      </c>
      <c r="J222" s="14">
        <v>869</v>
      </c>
      <c r="K222" s="14">
        <v>40281</v>
      </c>
      <c r="L222" s="14">
        <v>172311</v>
      </c>
      <c r="M222" s="3" t="s">
        <v>21</v>
      </c>
      <c r="N222" s="10">
        <f>SUM(Posts[[#This Row],[Likes]],Posts[[#This Row],[Shares]],Posts[[#This Row],[Comments]])/Posts[[#This Row],[Impressions]]</f>
        <v>6.6786217943137702E-2</v>
      </c>
    </row>
    <row r="223" spans="1:14" x14ac:dyDescent="0.25">
      <c r="A223" s="3" t="s">
        <v>124</v>
      </c>
      <c r="B223" s="3" t="s">
        <v>33</v>
      </c>
      <c r="C223" s="6">
        <v>45475</v>
      </c>
      <c r="D223" s="3" t="s">
        <v>29</v>
      </c>
      <c r="E223" s="3" t="s">
        <v>352</v>
      </c>
      <c r="F223" s="3" t="s">
        <v>353</v>
      </c>
      <c r="G223" s="14">
        <v>12320</v>
      </c>
      <c r="H223" s="14">
        <v>1157</v>
      </c>
      <c r="I223" s="14">
        <v>365</v>
      </c>
      <c r="J223" s="14">
        <v>584</v>
      </c>
      <c r="K223" s="14">
        <v>66634</v>
      </c>
      <c r="L223" s="14">
        <v>210102</v>
      </c>
      <c r="M223" s="3" t="s">
        <v>24</v>
      </c>
      <c r="N223" s="10">
        <f>SUM(Posts[[#This Row],[Likes]],Posts[[#This Row],[Shares]],Posts[[#This Row],[Comments]])/Posts[[#This Row],[Impressions]]</f>
        <v>6.5882285746922925E-2</v>
      </c>
    </row>
    <row r="224" spans="1:14" x14ac:dyDescent="0.25">
      <c r="A224" s="3" t="s">
        <v>247</v>
      </c>
      <c r="B224" s="3" t="s">
        <v>12</v>
      </c>
      <c r="C224" s="6">
        <v>45573</v>
      </c>
      <c r="D224" s="3" t="s">
        <v>20</v>
      </c>
      <c r="E224" s="3" t="s">
        <v>54</v>
      </c>
      <c r="F224" s="3"/>
      <c r="G224" s="14">
        <v>8738</v>
      </c>
      <c r="H224" s="14">
        <v>295</v>
      </c>
      <c r="I224" s="14">
        <v>529</v>
      </c>
      <c r="J224" s="14">
        <v>442</v>
      </c>
      <c r="K224" s="14">
        <v>25286</v>
      </c>
      <c r="L224" s="14">
        <v>147522</v>
      </c>
      <c r="M224" s="3" t="s">
        <v>24</v>
      </c>
      <c r="N224" s="10">
        <f>SUM(Posts[[#This Row],[Likes]],Posts[[#This Row],[Shares]],Posts[[#This Row],[Comments]])/Posts[[#This Row],[Impressions]]</f>
        <v>6.4817450956467515E-2</v>
      </c>
    </row>
    <row r="225" spans="1:14" x14ac:dyDescent="0.25">
      <c r="A225" s="3" t="s">
        <v>79</v>
      </c>
      <c r="B225" s="3" t="s">
        <v>16</v>
      </c>
      <c r="C225" s="6">
        <v>45729</v>
      </c>
      <c r="D225" s="3" t="s">
        <v>29</v>
      </c>
      <c r="E225" s="3" t="s">
        <v>348</v>
      </c>
      <c r="F225" s="3" t="s">
        <v>349</v>
      </c>
      <c r="G225" s="14">
        <v>6544</v>
      </c>
      <c r="H225" s="14">
        <v>749</v>
      </c>
      <c r="I225" s="14">
        <v>888</v>
      </c>
      <c r="J225" s="14">
        <v>594</v>
      </c>
      <c r="K225" s="14">
        <v>18171</v>
      </c>
      <c r="L225" s="14">
        <v>126475</v>
      </c>
      <c r="M225" s="3" t="s">
        <v>21</v>
      </c>
      <c r="N225" s="10">
        <f>SUM(Posts[[#This Row],[Likes]],Posts[[#This Row],[Shares]],Posts[[#This Row],[Comments]])/Posts[[#This Row],[Impressions]]</f>
        <v>6.4684720300454635E-2</v>
      </c>
    </row>
    <row r="226" spans="1:14" x14ac:dyDescent="0.25">
      <c r="A226" s="3" t="s">
        <v>243</v>
      </c>
      <c r="B226" s="3" t="s">
        <v>19</v>
      </c>
      <c r="C226" s="6">
        <v>45454</v>
      </c>
      <c r="D226" s="3" t="s">
        <v>23</v>
      </c>
      <c r="E226" s="3" t="s">
        <v>54</v>
      </c>
      <c r="F226" s="3"/>
      <c r="G226" s="14">
        <v>14910</v>
      </c>
      <c r="H226" s="14">
        <v>778</v>
      </c>
      <c r="I226" s="14">
        <v>289</v>
      </c>
      <c r="J226" s="14">
        <v>2541</v>
      </c>
      <c r="K226" s="14">
        <v>14309</v>
      </c>
      <c r="L226" s="14">
        <v>247815</v>
      </c>
      <c r="M226" s="3" t="s">
        <v>21</v>
      </c>
      <c r="N226" s="10">
        <f>SUM(Posts[[#This Row],[Likes]],Posts[[#This Row],[Shares]],Posts[[#This Row],[Comments]])/Posts[[#This Row],[Impressions]]</f>
        <v>6.4471480741682297E-2</v>
      </c>
    </row>
    <row r="227" spans="1:14" x14ac:dyDescent="0.25">
      <c r="A227" s="3" t="s">
        <v>179</v>
      </c>
      <c r="B227" s="3" t="s">
        <v>12</v>
      </c>
      <c r="C227" s="6">
        <v>45574</v>
      </c>
      <c r="D227" s="3" t="s">
        <v>23</v>
      </c>
      <c r="E227" s="3" t="s">
        <v>356</v>
      </c>
      <c r="F227" s="3" t="s">
        <v>357</v>
      </c>
      <c r="G227" s="14">
        <v>7240</v>
      </c>
      <c r="H227" s="14">
        <v>1384</v>
      </c>
      <c r="I227" s="14">
        <v>954</v>
      </c>
      <c r="J227" s="14">
        <v>2335</v>
      </c>
      <c r="K227" s="14">
        <v>6757</v>
      </c>
      <c r="L227" s="14">
        <v>150448</v>
      </c>
      <c r="M227" s="3" t="s">
        <v>21</v>
      </c>
      <c r="N227" s="10">
        <f>SUM(Posts[[#This Row],[Likes]],Posts[[#This Row],[Shares]],Posts[[#This Row],[Comments]])/Posts[[#This Row],[Impressions]]</f>
        <v>6.3663192598106988E-2</v>
      </c>
    </row>
    <row r="228" spans="1:14" x14ac:dyDescent="0.25">
      <c r="A228" s="3" t="s">
        <v>235</v>
      </c>
      <c r="B228" s="3" t="s">
        <v>19</v>
      </c>
      <c r="C228" s="6">
        <v>45707</v>
      </c>
      <c r="D228" s="3" t="s">
        <v>23</v>
      </c>
      <c r="E228" s="3" t="s">
        <v>356</v>
      </c>
      <c r="F228" s="3" t="s">
        <v>357</v>
      </c>
      <c r="G228" s="14">
        <v>8168</v>
      </c>
      <c r="H228" s="14">
        <v>512</v>
      </c>
      <c r="I228" s="14">
        <v>442</v>
      </c>
      <c r="J228" s="14">
        <v>2343</v>
      </c>
      <c r="K228" s="14">
        <v>2753</v>
      </c>
      <c r="L228" s="14">
        <v>143896</v>
      </c>
      <c r="M228" s="3" t="s">
        <v>37</v>
      </c>
      <c r="N228" s="10">
        <f>SUM(Posts[[#This Row],[Likes]],Posts[[#This Row],[Shares]],Posts[[#This Row],[Comments]])/Posts[[#This Row],[Impressions]]</f>
        <v>6.3393006059932172E-2</v>
      </c>
    </row>
    <row r="229" spans="1:14" x14ac:dyDescent="0.25">
      <c r="A229" s="3" t="s">
        <v>174</v>
      </c>
      <c r="B229" s="3" t="s">
        <v>19</v>
      </c>
      <c r="C229" s="6">
        <v>45459</v>
      </c>
      <c r="D229" s="3" t="s">
        <v>20</v>
      </c>
      <c r="E229" s="3" t="s">
        <v>344</v>
      </c>
      <c r="F229" s="3" t="s">
        <v>345</v>
      </c>
      <c r="G229" s="14">
        <v>12160</v>
      </c>
      <c r="H229" s="14">
        <v>1405</v>
      </c>
      <c r="I229" s="14">
        <v>769</v>
      </c>
      <c r="J229" s="14">
        <v>1980</v>
      </c>
      <c r="K229" s="14">
        <v>33174</v>
      </c>
      <c r="L229" s="14">
        <v>226481</v>
      </c>
      <c r="M229" s="3" t="s">
        <v>14</v>
      </c>
      <c r="N229" s="10">
        <f>SUM(Posts[[#This Row],[Likes]],Posts[[#This Row],[Shares]],Posts[[#This Row],[Comments]])/Posts[[#This Row],[Impressions]]</f>
        <v>6.329007731332871E-2</v>
      </c>
    </row>
    <row r="230" spans="1:14" x14ac:dyDescent="0.25">
      <c r="A230" s="3" t="s">
        <v>320</v>
      </c>
      <c r="B230" s="3" t="s">
        <v>33</v>
      </c>
      <c r="C230" s="6">
        <v>45783</v>
      </c>
      <c r="D230" s="3" t="s">
        <v>29</v>
      </c>
      <c r="E230" s="3" t="s">
        <v>344</v>
      </c>
      <c r="F230" s="3" t="s">
        <v>345</v>
      </c>
      <c r="G230" s="14">
        <v>7287</v>
      </c>
      <c r="H230" s="14">
        <v>1240</v>
      </c>
      <c r="I230" s="14">
        <v>686</v>
      </c>
      <c r="J230" s="14">
        <v>1255</v>
      </c>
      <c r="K230" s="14">
        <v>15403</v>
      </c>
      <c r="L230" s="14">
        <v>147971</v>
      </c>
      <c r="M230" s="3" t="s">
        <v>14</v>
      </c>
      <c r="N230" s="10">
        <f>SUM(Posts[[#This Row],[Likes]],Posts[[#This Row],[Shares]],Posts[[#This Row],[Comments]])/Posts[[#This Row],[Impressions]]</f>
        <v>6.2262200025680704E-2</v>
      </c>
    </row>
    <row r="231" spans="1:14" x14ac:dyDescent="0.25">
      <c r="A231" s="3" t="s">
        <v>110</v>
      </c>
      <c r="B231" s="3" t="s">
        <v>12</v>
      </c>
      <c r="C231" s="6">
        <v>45766</v>
      </c>
      <c r="D231" s="3" t="s">
        <v>13</v>
      </c>
      <c r="E231" s="3" t="s">
        <v>352</v>
      </c>
      <c r="F231" s="3" t="s">
        <v>353</v>
      </c>
      <c r="G231" s="14">
        <v>8881</v>
      </c>
      <c r="H231" s="14">
        <v>210</v>
      </c>
      <c r="I231" s="14">
        <v>673</v>
      </c>
      <c r="J231" s="14">
        <v>1565</v>
      </c>
      <c r="K231" s="14">
        <v>24847</v>
      </c>
      <c r="L231" s="14">
        <v>156891</v>
      </c>
      <c r="M231" s="3" t="s">
        <v>21</v>
      </c>
      <c r="N231" s="10">
        <f>SUM(Posts[[#This Row],[Likes]],Posts[[#This Row],[Shares]],Posts[[#This Row],[Comments]])/Posts[[#This Row],[Impressions]]</f>
        <v>6.223429004850501E-2</v>
      </c>
    </row>
    <row r="232" spans="1:14" x14ac:dyDescent="0.25">
      <c r="A232" s="3" t="s">
        <v>181</v>
      </c>
      <c r="B232" s="3" t="s">
        <v>33</v>
      </c>
      <c r="C232" s="6">
        <v>45587</v>
      </c>
      <c r="D232" s="3" t="s">
        <v>20</v>
      </c>
      <c r="E232" s="3" t="s">
        <v>352</v>
      </c>
      <c r="F232" s="3" t="s">
        <v>353</v>
      </c>
      <c r="G232" s="14">
        <v>12478</v>
      </c>
      <c r="H232" s="14">
        <v>484</v>
      </c>
      <c r="I232" s="14">
        <v>332</v>
      </c>
      <c r="J232" s="14">
        <v>2734</v>
      </c>
      <c r="K232" s="14">
        <v>43338</v>
      </c>
      <c r="L232" s="14">
        <v>213895</v>
      </c>
      <c r="M232" s="3" t="s">
        <v>24</v>
      </c>
      <c r="N232" s="10">
        <f>SUM(Posts[[#This Row],[Likes]],Posts[[#This Row],[Shares]],Posts[[#This Row],[Comments]])/Posts[[#This Row],[Impressions]]</f>
        <v>6.2151990462610156E-2</v>
      </c>
    </row>
    <row r="233" spans="1:14" x14ac:dyDescent="0.25">
      <c r="A233" s="3" t="s">
        <v>295</v>
      </c>
      <c r="B233" s="3" t="s">
        <v>12</v>
      </c>
      <c r="C233" s="6">
        <v>45672</v>
      </c>
      <c r="D233" s="3" t="s">
        <v>20</v>
      </c>
      <c r="E233" s="3" t="s">
        <v>346</v>
      </c>
      <c r="F233" s="3" t="s">
        <v>347</v>
      </c>
      <c r="G233" s="14">
        <v>11333</v>
      </c>
      <c r="H233" s="14">
        <v>920</v>
      </c>
      <c r="I233" s="14">
        <v>294</v>
      </c>
      <c r="J233" s="14">
        <v>606</v>
      </c>
      <c r="K233" s="14">
        <v>59490</v>
      </c>
      <c r="L233" s="14">
        <v>202082</v>
      </c>
      <c r="M233" s="3" t="s">
        <v>21</v>
      </c>
      <c r="N233" s="10">
        <f>SUM(Posts[[#This Row],[Likes]],Posts[[#This Row],[Shares]],Posts[[#This Row],[Comments]])/Posts[[#This Row],[Impressions]]</f>
        <v>6.2088657079799291E-2</v>
      </c>
    </row>
    <row r="234" spans="1:14" x14ac:dyDescent="0.25">
      <c r="A234" s="3" t="s">
        <v>194</v>
      </c>
      <c r="B234" s="3" t="s">
        <v>12</v>
      </c>
      <c r="C234" s="6">
        <v>45629</v>
      </c>
      <c r="D234" s="3" t="s">
        <v>13</v>
      </c>
      <c r="E234" s="3" t="s">
        <v>352</v>
      </c>
      <c r="F234" s="3" t="s">
        <v>353</v>
      </c>
      <c r="G234" s="14">
        <v>2055</v>
      </c>
      <c r="H234" s="14">
        <v>675</v>
      </c>
      <c r="I234" s="14">
        <v>257</v>
      </c>
      <c r="J234" s="14">
        <v>820</v>
      </c>
      <c r="K234" s="14">
        <v>33534</v>
      </c>
      <c r="L234" s="14">
        <v>48125</v>
      </c>
      <c r="M234" s="3" t="s">
        <v>14</v>
      </c>
      <c r="N234" s="10">
        <f>SUM(Posts[[#This Row],[Likes]],Posts[[#This Row],[Shares]],Posts[[#This Row],[Comments]])/Posts[[#This Row],[Impressions]]</f>
        <v>6.2067532467532466E-2</v>
      </c>
    </row>
    <row r="235" spans="1:14" x14ac:dyDescent="0.25">
      <c r="A235" s="3" t="s">
        <v>106</v>
      </c>
      <c r="B235" s="3" t="s">
        <v>12</v>
      </c>
      <c r="C235" s="6">
        <v>45584</v>
      </c>
      <c r="D235" s="3" t="s">
        <v>29</v>
      </c>
      <c r="E235" s="3" t="s">
        <v>350</v>
      </c>
      <c r="F235" s="3" t="s">
        <v>351</v>
      </c>
      <c r="G235" s="14">
        <v>6673</v>
      </c>
      <c r="H235" s="14">
        <v>826</v>
      </c>
      <c r="I235" s="14">
        <v>321</v>
      </c>
      <c r="J235" s="14">
        <v>577</v>
      </c>
      <c r="K235" s="14">
        <v>19262</v>
      </c>
      <c r="L235" s="14">
        <v>132324</v>
      </c>
      <c r="M235" s="3" t="s">
        <v>37</v>
      </c>
      <c r="N235" s="10">
        <f>SUM(Posts[[#This Row],[Likes]],Posts[[#This Row],[Shares]],Posts[[#This Row],[Comments]])/Posts[[#This Row],[Impressions]]</f>
        <v>5.9097367068710133E-2</v>
      </c>
    </row>
    <row r="236" spans="1:14" x14ac:dyDescent="0.25">
      <c r="A236" s="3" t="s">
        <v>73</v>
      </c>
      <c r="B236" s="3" t="s">
        <v>12</v>
      </c>
      <c r="C236" s="6">
        <v>45727</v>
      </c>
      <c r="D236" s="3" t="s">
        <v>29</v>
      </c>
      <c r="E236" s="3" t="s">
        <v>344</v>
      </c>
      <c r="F236" s="3" t="s">
        <v>345</v>
      </c>
      <c r="G236" s="14">
        <v>7997</v>
      </c>
      <c r="H236" s="14">
        <v>1238</v>
      </c>
      <c r="I236" s="14">
        <v>438</v>
      </c>
      <c r="J236" s="14">
        <v>1874</v>
      </c>
      <c r="K236" s="14">
        <v>36272</v>
      </c>
      <c r="L236" s="14">
        <v>165818</v>
      </c>
      <c r="M236" s="3" t="s">
        <v>37</v>
      </c>
      <c r="N236" s="10">
        <f>SUM(Posts[[#This Row],[Likes]],Posts[[#This Row],[Shares]],Posts[[#This Row],[Comments]])/Posts[[#This Row],[Impressions]]</f>
        <v>5.8335042034037318E-2</v>
      </c>
    </row>
    <row r="237" spans="1:14" x14ac:dyDescent="0.25">
      <c r="A237" s="3" t="s">
        <v>39</v>
      </c>
      <c r="B237" s="3" t="s">
        <v>16</v>
      </c>
      <c r="C237" s="6">
        <v>45907</v>
      </c>
      <c r="D237" s="3" t="s">
        <v>20</v>
      </c>
      <c r="E237" s="3" t="s">
        <v>348</v>
      </c>
      <c r="F237" s="3" t="s">
        <v>349</v>
      </c>
      <c r="G237" s="14">
        <v>3015</v>
      </c>
      <c r="H237" s="14">
        <v>997</v>
      </c>
      <c r="I237" s="14">
        <v>783</v>
      </c>
      <c r="J237" s="14">
        <v>617</v>
      </c>
      <c r="K237" s="14">
        <v>77167</v>
      </c>
      <c r="L237" s="14">
        <v>82229</v>
      </c>
      <c r="M237" s="3" t="s">
        <v>17</v>
      </c>
      <c r="N237" s="10">
        <f>SUM(Posts[[#This Row],[Likes]],Posts[[#This Row],[Shares]],Posts[[#This Row],[Comments]])/Posts[[#This Row],[Impressions]]</f>
        <v>5.8312760704860814E-2</v>
      </c>
    </row>
    <row r="238" spans="1:14" x14ac:dyDescent="0.25">
      <c r="A238" s="3" t="s">
        <v>313</v>
      </c>
      <c r="B238" s="3" t="s">
        <v>19</v>
      </c>
      <c r="C238" s="6">
        <v>45764</v>
      </c>
      <c r="D238" s="3" t="s">
        <v>20</v>
      </c>
      <c r="E238" s="3" t="s">
        <v>354</v>
      </c>
      <c r="F238" s="3" t="s">
        <v>355</v>
      </c>
      <c r="G238" s="14">
        <v>2009</v>
      </c>
      <c r="H238" s="14">
        <v>1037</v>
      </c>
      <c r="I238" s="14">
        <v>344</v>
      </c>
      <c r="J238" s="14">
        <v>2277</v>
      </c>
      <c r="K238" s="14">
        <v>85743</v>
      </c>
      <c r="L238" s="14">
        <v>58743</v>
      </c>
      <c r="M238" s="3" t="s">
        <v>24</v>
      </c>
      <c r="N238" s="10">
        <f>SUM(Posts[[#This Row],[Likes]],Posts[[#This Row],[Shares]],Posts[[#This Row],[Comments]])/Posts[[#This Row],[Impressions]]</f>
        <v>5.7709003625963942E-2</v>
      </c>
    </row>
    <row r="239" spans="1:14" x14ac:dyDescent="0.25">
      <c r="A239" s="3" t="s">
        <v>57</v>
      </c>
      <c r="B239" s="3" t="s">
        <v>19</v>
      </c>
      <c r="C239" s="6">
        <v>45504</v>
      </c>
      <c r="D239" s="3" t="s">
        <v>13</v>
      </c>
      <c r="E239" s="3" t="s">
        <v>350</v>
      </c>
      <c r="F239" s="3" t="s">
        <v>358</v>
      </c>
      <c r="G239" s="14">
        <v>2404</v>
      </c>
      <c r="H239" s="14">
        <v>774</v>
      </c>
      <c r="I239" s="14">
        <v>661</v>
      </c>
      <c r="J239" s="14">
        <v>662</v>
      </c>
      <c r="K239" s="14">
        <v>12676</v>
      </c>
      <c r="L239" s="14">
        <v>66916</v>
      </c>
      <c r="M239" s="3" t="s">
        <v>14</v>
      </c>
      <c r="N239" s="10">
        <f>SUM(Posts[[#This Row],[Likes]],Posts[[#This Row],[Shares]],Posts[[#This Row],[Comments]])/Posts[[#This Row],[Impressions]]</f>
        <v>5.7370434574690654E-2</v>
      </c>
    </row>
    <row r="240" spans="1:14" x14ac:dyDescent="0.25">
      <c r="A240" s="3" t="s">
        <v>158</v>
      </c>
      <c r="B240" s="3" t="s">
        <v>19</v>
      </c>
      <c r="C240" s="6">
        <v>45694</v>
      </c>
      <c r="D240" s="3" t="s">
        <v>13</v>
      </c>
      <c r="E240" s="3" t="s">
        <v>344</v>
      </c>
      <c r="F240" s="3" t="s">
        <v>345</v>
      </c>
      <c r="G240" s="14">
        <v>2666</v>
      </c>
      <c r="H240" s="14">
        <v>1136</v>
      </c>
      <c r="I240" s="14">
        <v>989</v>
      </c>
      <c r="J240" s="14">
        <v>1710</v>
      </c>
      <c r="K240" s="14">
        <v>36467</v>
      </c>
      <c r="L240" s="14">
        <v>83753</v>
      </c>
      <c r="M240" s="3" t="s">
        <v>21</v>
      </c>
      <c r="N240" s="10">
        <f>SUM(Posts[[#This Row],[Likes]],Posts[[#This Row],[Shares]],Posts[[#This Row],[Comments]])/Posts[[#This Row],[Impressions]]</f>
        <v>5.7203921053574198E-2</v>
      </c>
    </row>
    <row r="241" spans="1:14" x14ac:dyDescent="0.25">
      <c r="A241" s="3" t="s">
        <v>52</v>
      </c>
      <c r="B241" s="3" t="s">
        <v>33</v>
      </c>
      <c r="C241" s="6">
        <v>45720</v>
      </c>
      <c r="D241" s="3" t="s">
        <v>20</v>
      </c>
      <c r="E241" s="3" t="s">
        <v>27</v>
      </c>
      <c r="F241" s="3"/>
      <c r="G241" s="14">
        <v>12344</v>
      </c>
      <c r="H241" s="14">
        <v>815</v>
      </c>
      <c r="I241" s="14">
        <v>298</v>
      </c>
      <c r="J241" s="14">
        <v>2439</v>
      </c>
      <c r="K241" s="14">
        <v>6259</v>
      </c>
      <c r="L241" s="14">
        <v>237133</v>
      </c>
      <c r="M241" s="3" t="s">
        <v>24</v>
      </c>
      <c r="N241" s="10">
        <f>SUM(Posts[[#This Row],[Likes]],Posts[[#This Row],[Shares]],Posts[[#This Row],[Comments]])/Posts[[#This Row],[Impressions]]</f>
        <v>5.6748744375519224E-2</v>
      </c>
    </row>
    <row r="242" spans="1:14" x14ac:dyDescent="0.25">
      <c r="A242" s="3" t="s">
        <v>121</v>
      </c>
      <c r="B242" s="3" t="s">
        <v>33</v>
      </c>
      <c r="C242" s="6">
        <v>45545</v>
      </c>
      <c r="D242" s="3" t="s">
        <v>29</v>
      </c>
      <c r="E242" s="3" t="s">
        <v>354</v>
      </c>
      <c r="F242" s="3" t="s">
        <v>355</v>
      </c>
      <c r="G242" s="14">
        <v>6637</v>
      </c>
      <c r="H242" s="14">
        <v>595</v>
      </c>
      <c r="I242" s="14">
        <v>161</v>
      </c>
      <c r="J242" s="14">
        <v>2653</v>
      </c>
      <c r="K242" s="14">
        <v>19334</v>
      </c>
      <c r="L242" s="14">
        <v>131155</v>
      </c>
      <c r="M242" s="3" t="s">
        <v>21</v>
      </c>
      <c r="N242" s="10">
        <f>SUM(Posts[[#This Row],[Likes]],Posts[[#This Row],[Shares]],Posts[[#This Row],[Comments]])/Posts[[#This Row],[Impressions]]</f>
        <v>5.6368419046166747E-2</v>
      </c>
    </row>
    <row r="243" spans="1:14" x14ac:dyDescent="0.25">
      <c r="A243" s="3" t="s">
        <v>112</v>
      </c>
      <c r="B243" s="3" t="s">
        <v>33</v>
      </c>
      <c r="C243" s="6">
        <v>45449</v>
      </c>
      <c r="D243" s="3" t="s">
        <v>20</v>
      </c>
      <c r="E243" s="3" t="s">
        <v>356</v>
      </c>
      <c r="F243" s="3" t="s">
        <v>357</v>
      </c>
      <c r="G243" s="14">
        <v>11521</v>
      </c>
      <c r="H243" s="14">
        <v>1071</v>
      </c>
      <c r="I243" s="14">
        <v>762</v>
      </c>
      <c r="J243" s="14">
        <v>2539</v>
      </c>
      <c r="K243" s="14">
        <v>12701</v>
      </c>
      <c r="L243" s="14">
        <v>238350</v>
      </c>
      <c r="M243" s="3" t="s">
        <v>21</v>
      </c>
      <c r="N243" s="10">
        <f>SUM(Posts[[#This Row],[Likes]],Posts[[#This Row],[Shares]],Posts[[#This Row],[Comments]])/Posts[[#This Row],[Impressions]]</f>
        <v>5.6026851269142017E-2</v>
      </c>
    </row>
    <row r="244" spans="1:14" x14ac:dyDescent="0.25">
      <c r="A244" s="3" t="s">
        <v>74</v>
      </c>
      <c r="B244" s="3" t="s">
        <v>33</v>
      </c>
      <c r="C244" s="6">
        <v>45918</v>
      </c>
      <c r="D244" s="3" t="s">
        <v>29</v>
      </c>
      <c r="E244" s="3" t="s">
        <v>350</v>
      </c>
      <c r="F244" s="3" t="s">
        <v>358</v>
      </c>
      <c r="G244" s="14">
        <v>4048</v>
      </c>
      <c r="H244" s="14">
        <v>677</v>
      </c>
      <c r="I244" s="14">
        <v>911</v>
      </c>
      <c r="J244" s="14">
        <v>2429</v>
      </c>
      <c r="K244" s="14">
        <v>27361</v>
      </c>
      <c r="L244" s="14">
        <v>101272</v>
      </c>
      <c r="M244" s="3" t="s">
        <v>17</v>
      </c>
      <c r="N244" s="10">
        <f>SUM(Posts[[#This Row],[Likes]],Posts[[#This Row],[Shares]],Posts[[#This Row],[Comments]])/Posts[[#This Row],[Impressions]]</f>
        <v>5.5652105221581483E-2</v>
      </c>
    </row>
    <row r="245" spans="1:14" x14ac:dyDescent="0.25">
      <c r="A245" s="3" t="s">
        <v>44</v>
      </c>
      <c r="B245" s="3" t="s">
        <v>12</v>
      </c>
      <c r="C245" s="6">
        <v>45544</v>
      </c>
      <c r="D245" s="3" t="s">
        <v>23</v>
      </c>
      <c r="E245" s="3" t="s">
        <v>348</v>
      </c>
      <c r="F245" s="3" t="s">
        <v>349</v>
      </c>
      <c r="G245" s="14">
        <v>6158</v>
      </c>
      <c r="H245" s="14">
        <v>277</v>
      </c>
      <c r="I245" s="14">
        <v>512</v>
      </c>
      <c r="J245" s="14">
        <v>2189</v>
      </c>
      <c r="K245" s="14">
        <v>76881</v>
      </c>
      <c r="L245" s="14">
        <v>124878</v>
      </c>
      <c r="M245" s="3" t="s">
        <v>24</v>
      </c>
      <c r="N245" s="10">
        <f>SUM(Posts[[#This Row],[Likes]],Posts[[#This Row],[Shares]],Posts[[#This Row],[Comments]])/Posts[[#This Row],[Impressions]]</f>
        <v>5.563029516808405E-2</v>
      </c>
    </row>
    <row r="246" spans="1:14" x14ac:dyDescent="0.25">
      <c r="A246" s="3" t="s">
        <v>127</v>
      </c>
      <c r="B246" s="3" t="s">
        <v>33</v>
      </c>
      <c r="C246" s="6">
        <v>45926</v>
      </c>
      <c r="D246" s="3" t="s">
        <v>29</v>
      </c>
      <c r="E246" s="3" t="s">
        <v>27</v>
      </c>
      <c r="F246" s="3"/>
      <c r="G246" s="14">
        <v>9043</v>
      </c>
      <c r="H246" s="14">
        <v>1192</v>
      </c>
      <c r="I246" s="14">
        <v>810</v>
      </c>
      <c r="J246" s="14">
        <v>1550</v>
      </c>
      <c r="K246" s="14">
        <v>5221</v>
      </c>
      <c r="L246" s="14">
        <v>199476</v>
      </c>
      <c r="M246" s="3" t="s">
        <v>17</v>
      </c>
      <c r="N246" s="10">
        <f>SUM(Posts[[#This Row],[Likes]],Posts[[#This Row],[Shares]],Posts[[#This Row],[Comments]])/Posts[[#This Row],[Impressions]]</f>
        <v>5.5370069582305642E-2</v>
      </c>
    </row>
    <row r="247" spans="1:14" x14ac:dyDescent="0.25">
      <c r="A247" s="3" t="s">
        <v>94</v>
      </c>
      <c r="B247" s="3" t="s">
        <v>16</v>
      </c>
      <c r="C247" s="6">
        <v>45724</v>
      </c>
      <c r="D247" s="3" t="s">
        <v>20</v>
      </c>
      <c r="E247" s="3" t="s">
        <v>354</v>
      </c>
      <c r="F247" s="3" t="s">
        <v>355</v>
      </c>
      <c r="G247" s="14">
        <v>10580</v>
      </c>
      <c r="H247" s="14">
        <v>427</v>
      </c>
      <c r="I247" s="14">
        <v>790</v>
      </c>
      <c r="J247" s="14">
        <v>2814</v>
      </c>
      <c r="K247" s="14">
        <v>24916</v>
      </c>
      <c r="L247" s="14">
        <v>213312</v>
      </c>
      <c r="M247" s="3" t="s">
        <v>37</v>
      </c>
      <c r="N247" s="10">
        <f>SUM(Posts[[#This Row],[Likes]],Posts[[#This Row],[Shares]],Posts[[#This Row],[Comments]])/Posts[[#This Row],[Impressions]]</f>
        <v>5.530396789678968E-2</v>
      </c>
    </row>
    <row r="248" spans="1:14" x14ac:dyDescent="0.25">
      <c r="A248" s="3" t="s">
        <v>145</v>
      </c>
      <c r="B248" s="3" t="s">
        <v>19</v>
      </c>
      <c r="C248" s="6">
        <v>45586</v>
      </c>
      <c r="D248" s="3" t="s">
        <v>23</v>
      </c>
      <c r="E248" s="3" t="s">
        <v>350</v>
      </c>
      <c r="F248" s="3" t="s">
        <v>351</v>
      </c>
      <c r="G248" s="14">
        <v>8254</v>
      </c>
      <c r="H248" s="14">
        <v>1405</v>
      </c>
      <c r="I248" s="14">
        <v>165</v>
      </c>
      <c r="J248" s="14">
        <v>2504</v>
      </c>
      <c r="K248" s="14">
        <v>8081</v>
      </c>
      <c r="L248" s="14">
        <v>177710</v>
      </c>
      <c r="M248" s="3" t="s">
        <v>14</v>
      </c>
      <c r="N248" s="10">
        <f>SUM(Posts[[#This Row],[Likes]],Posts[[#This Row],[Shares]],Posts[[#This Row],[Comments]])/Posts[[#This Row],[Impressions]]</f>
        <v>5.5281075910190762E-2</v>
      </c>
    </row>
    <row r="249" spans="1:14" x14ac:dyDescent="0.25">
      <c r="A249" s="3" t="s">
        <v>318</v>
      </c>
      <c r="B249" s="3" t="s">
        <v>19</v>
      </c>
      <c r="C249" s="6">
        <v>45791</v>
      </c>
      <c r="D249" s="3" t="s">
        <v>13</v>
      </c>
      <c r="E249" s="3" t="s">
        <v>350</v>
      </c>
      <c r="F249" s="3" t="s">
        <v>358</v>
      </c>
      <c r="G249" s="14">
        <v>9041</v>
      </c>
      <c r="H249" s="14">
        <v>1133</v>
      </c>
      <c r="I249" s="14">
        <v>612</v>
      </c>
      <c r="J249" s="14">
        <v>1687</v>
      </c>
      <c r="K249" s="14">
        <v>28102</v>
      </c>
      <c r="L249" s="14">
        <v>195683</v>
      </c>
      <c r="M249" s="3" t="s">
        <v>24</v>
      </c>
      <c r="N249" s="10">
        <f>SUM(Posts[[#This Row],[Likes]],Posts[[#This Row],[Shares]],Posts[[#This Row],[Comments]])/Posts[[#This Row],[Impressions]]</f>
        <v>5.5119760020032396E-2</v>
      </c>
    </row>
    <row r="250" spans="1:14" x14ac:dyDescent="0.25">
      <c r="A250" s="3" t="s">
        <v>138</v>
      </c>
      <c r="B250" s="3" t="s">
        <v>16</v>
      </c>
      <c r="C250" s="6">
        <v>45929</v>
      </c>
      <c r="D250" s="3" t="s">
        <v>23</v>
      </c>
      <c r="E250" s="3" t="s">
        <v>359</v>
      </c>
      <c r="F250" s="3" t="s">
        <v>27</v>
      </c>
      <c r="G250" s="14">
        <v>7569</v>
      </c>
      <c r="H250" s="14">
        <v>803</v>
      </c>
      <c r="I250" s="14">
        <v>804</v>
      </c>
      <c r="J250" s="14">
        <v>1753</v>
      </c>
      <c r="K250" s="14">
        <v>43582</v>
      </c>
      <c r="L250" s="14">
        <v>166945</v>
      </c>
      <c r="M250" s="3" t="s">
        <v>17</v>
      </c>
      <c r="N250" s="10">
        <f>SUM(Posts[[#This Row],[Likes]],Posts[[#This Row],[Shares]],Posts[[#This Row],[Comments]])/Posts[[#This Row],[Impressions]]</f>
        <v>5.4964209769684629E-2</v>
      </c>
    </row>
    <row r="251" spans="1:14" x14ac:dyDescent="0.25">
      <c r="A251" s="3" t="s">
        <v>222</v>
      </c>
      <c r="B251" s="3" t="s">
        <v>33</v>
      </c>
      <c r="C251" s="6">
        <v>45587</v>
      </c>
      <c r="D251" s="3" t="s">
        <v>20</v>
      </c>
      <c r="E251" s="3" t="s">
        <v>348</v>
      </c>
      <c r="F251" s="3" t="s">
        <v>349</v>
      </c>
      <c r="G251" s="14">
        <v>7750</v>
      </c>
      <c r="H251" s="14">
        <v>1146</v>
      </c>
      <c r="I251" s="14">
        <v>415</v>
      </c>
      <c r="J251" s="14">
        <v>1411</v>
      </c>
      <c r="K251" s="14">
        <v>85339</v>
      </c>
      <c r="L251" s="14">
        <v>172439</v>
      </c>
      <c r="M251" s="3" t="s">
        <v>21</v>
      </c>
      <c r="N251" s="10">
        <f>SUM(Posts[[#This Row],[Likes]],Posts[[#This Row],[Shares]],Posts[[#This Row],[Comments]])/Posts[[#This Row],[Impressions]]</f>
        <v>5.3995905798572247E-2</v>
      </c>
    </row>
    <row r="252" spans="1:14" x14ac:dyDescent="0.25">
      <c r="A252" s="3" t="s">
        <v>119</v>
      </c>
      <c r="B252" s="3" t="s">
        <v>33</v>
      </c>
      <c r="C252" s="6">
        <v>45603</v>
      </c>
      <c r="D252" s="3" t="s">
        <v>29</v>
      </c>
      <c r="E252" s="3" t="s">
        <v>356</v>
      </c>
      <c r="F252" s="3" t="s">
        <v>357</v>
      </c>
      <c r="G252" s="14">
        <v>11550</v>
      </c>
      <c r="H252" s="14">
        <v>501</v>
      </c>
      <c r="I252" s="14">
        <v>646</v>
      </c>
      <c r="J252" s="14">
        <v>773</v>
      </c>
      <c r="K252" s="14">
        <v>17841</v>
      </c>
      <c r="L252" s="14">
        <v>237576</v>
      </c>
      <c r="M252" s="3" t="s">
        <v>24</v>
      </c>
      <c r="N252" s="10">
        <f>SUM(Posts[[#This Row],[Likes]],Posts[[#This Row],[Shares]],Posts[[#This Row],[Comments]])/Posts[[#This Row],[Impressions]]</f>
        <v>5.3443950567397383E-2</v>
      </c>
    </row>
    <row r="253" spans="1:14" x14ac:dyDescent="0.25">
      <c r="A253" s="3" t="s">
        <v>55</v>
      </c>
      <c r="B253" s="3" t="s">
        <v>16</v>
      </c>
      <c r="C253" s="6">
        <v>45713</v>
      </c>
      <c r="D253" s="3" t="s">
        <v>29</v>
      </c>
      <c r="E253" s="3" t="s">
        <v>359</v>
      </c>
      <c r="F253" s="3" t="s">
        <v>27</v>
      </c>
      <c r="G253" s="14">
        <v>10702</v>
      </c>
      <c r="H253" s="14">
        <v>621</v>
      </c>
      <c r="I253" s="14">
        <v>445</v>
      </c>
      <c r="J253" s="14">
        <v>2918</v>
      </c>
      <c r="K253" s="14">
        <v>54808</v>
      </c>
      <c r="L253" s="14">
        <v>220225</v>
      </c>
      <c r="M253" s="3" t="s">
        <v>14</v>
      </c>
      <c r="N253" s="10">
        <f>SUM(Posts[[#This Row],[Likes]],Posts[[#This Row],[Shares]],Posts[[#This Row],[Comments]])/Posts[[#This Row],[Impressions]]</f>
        <v>5.3436258372119426E-2</v>
      </c>
    </row>
    <row r="254" spans="1:14" x14ac:dyDescent="0.25">
      <c r="A254" s="3" t="s">
        <v>35</v>
      </c>
      <c r="B254" s="3" t="s">
        <v>12</v>
      </c>
      <c r="C254" s="6">
        <v>45494</v>
      </c>
      <c r="D254" s="3" t="s">
        <v>20</v>
      </c>
      <c r="E254" s="3" t="s">
        <v>346</v>
      </c>
      <c r="F254" s="3" t="s">
        <v>347</v>
      </c>
      <c r="G254" s="14">
        <v>2009</v>
      </c>
      <c r="H254" s="14">
        <v>1072</v>
      </c>
      <c r="I254" s="14">
        <v>550</v>
      </c>
      <c r="J254" s="14">
        <v>1437</v>
      </c>
      <c r="K254" s="14">
        <v>22982</v>
      </c>
      <c r="L254" s="14">
        <v>69426</v>
      </c>
      <c r="M254" s="3" t="s">
        <v>24</v>
      </c>
      <c r="N254" s="10">
        <f>SUM(Posts[[#This Row],[Likes]],Posts[[#This Row],[Shares]],Posts[[#This Row],[Comments]])/Posts[[#This Row],[Impressions]]</f>
        <v>5.2300290957278256E-2</v>
      </c>
    </row>
    <row r="255" spans="1:14" x14ac:dyDescent="0.25">
      <c r="A255" s="3" t="s">
        <v>294</v>
      </c>
      <c r="B255" s="3" t="s">
        <v>12</v>
      </c>
      <c r="C255" s="6">
        <v>45601</v>
      </c>
      <c r="D255" s="3" t="s">
        <v>20</v>
      </c>
      <c r="E255" s="3" t="s">
        <v>54</v>
      </c>
      <c r="F255" s="3"/>
      <c r="G255" s="14">
        <v>8469</v>
      </c>
      <c r="H255" s="14">
        <v>935</v>
      </c>
      <c r="I255" s="14">
        <v>211</v>
      </c>
      <c r="J255" s="14">
        <v>2635</v>
      </c>
      <c r="K255" s="14">
        <v>21890</v>
      </c>
      <c r="L255" s="14">
        <v>184539</v>
      </c>
      <c r="M255" s="3" t="s">
        <v>37</v>
      </c>
      <c r="N255" s="10">
        <f>SUM(Posts[[#This Row],[Likes]],Posts[[#This Row],[Shares]],Posts[[#This Row],[Comments]])/Posts[[#This Row],[Impressions]]</f>
        <v>5.2102807536618279E-2</v>
      </c>
    </row>
    <row r="256" spans="1:14" x14ac:dyDescent="0.25">
      <c r="A256" s="3" t="s">
        <v>31</v>
      </c>
      <c r="B256" s="3" t="s">
        <v>12</v>
      </c>
      <c r="C256" s="6">
        <v>45534</v>
      </c>
      <c r="D256" s="3" t="s">
        <v>29</v>
      </c>
      <c r="E256" s="3" t="s">
        <v>346</v>
      </c>
      <c r="F256" s="3" t="s">
        <v>347</v>
      </c>
      <c r="G256" s="14">
        <v>6804</v>
      </c>
      <c r="H256" s="14">
        <v>787</v>
      </c>
      <c r="I256" s="14">
        <v>970</v>
      </c>
      <c r="J256" s="14">
        <v>1095</v>
      </c>
      <c r="K256" s="14">
        <v>56343</v>
      </c>
      <c r="L256" s="14">
        <v>164677</v>
      </c>
      <c r="M256" s="3" t="s">
        <v>14</v>
      </c>
      <c r="N256" s="10">
        <f>SUM(Posts[[#This Row],[Likes]],Posts[[#This Row],[Shares]],Posts[[#This Row],[Comments]])/Posts[[#This Row],[Impressions]]</f>
        <v>5.1986616224487935E-2</v>
      </c>
    </row>
    <row r="257" spans="1:14" x14ac:dyDescent="0.25">
      <c r="A257" s="3" t="s">
        <v>56</v>
      </c>
      <c r="B257" s="3" t="s">
        <v>19</v>
      </c>
      <c r="C257" s="6">
        <v>45642</v>
      </c>
      <c r="D257" s="3" t="s">
        <v>13</v>
      </c>
      <c r="E257" s="3" t="s">
        <v>350</v>
      </c>
      <c r="F257" s="3" t="s">
        <v>351</v>
      </c>
      <c r="G257" s="14">
        <v>2384</v>
      </c>
      <c r="H257" s="14">
        <v>1246</v>
      </c>
      <c r="I257" s="14">
        <v>160</v>
      </c>
      <c r="J257" s="14">
        <v>2004</v>
      </c>
      <c r="K257" s="14">
        <v>2701</v>
      </c>
      <c r="L257" s="14">
        <v>73142</v>
      </c>
      <c r="M257" s="3" t="s">
        <v>14</v>
      </c>
      <c r="N257" s="10">
        <f>SUM(Posts[[#This Row],[Likes]],Posts[[#This Row],[Shares]],Posts[[#This Row],[Comments]])/Posts[[#This Row],[Impressions]]</f>
        <v>5.1817013480626728E-2</v>
      </c>
    </row>
    <row r="258" spans="1:14" x14ac:dyDescent="0.25">
      <c r="A258" s="3" t="s">
        <v>46</v>
      </c>
      <c r="B258" s="3" t="s">
        <v>19</v>
      </c>
      <c r="C258" s="6">
        <v>45715</v>
      </c>
      <c r="D258" s="3" t="s">
        <v>13</v>
      </c>
      <c r="E258" s="3" t="s">
        <v>352</v>
      </c>
      <c r="F258" s="3" t="s">
        <v>353</v>
      </c>
      <c r="G258" s="14">
        <v>8970</v>
      </c>
      <c r="H258" s="14">
        <v>331</v>
      </c>
      <c r="I258" s="14">
        <v>968</v>
      </c>
      <c r="J258" s="14">
        <v>2296</v>
      </c>
      <c r="K258" s="14">
        <v>24613</v>
      </c>
      <c r="L258" s="14">
        <v>198562</v>
      </c>
      <c r="M258" s="3" t="s">
        <v>24</v>
      </c>
      <c r="N258" s="10">
        <f>SUM(Posts[[#This Row],[Likes]],Posts[[#This Row],[Shares]],Posts[[#This Row],[Comments]])/Posts[[#This Row],[Impressions]]</f>
        <v>5.1716844109144754E-2</v>
      </c>
    </row>
    <row r="259" spans="1:14" x14ac:dyDescent="0.25">
      <c r="A259" s="3" t="s">
        <v>225</v>
      </c>
      <c r="B259" s="3" t="s">
        <v>12</v>
      </c>
      <c r="C259" s="6">
        <v>45754</v>
      </c>
      <c r="D259" s="3" t="s">
        <v>29</v>
      </c>
      <c r="E259" s="3" t="s">
        <v>359</v>
      </c>
      <c r="F259" s="3" t="s">
        <v>27</v>
      </c>
      <c r="G259" s="14">
        <v>3062</v>
      </c>
      <c r="H259" s="14">
        <v>1124</v>
      </c>
      <c r="I259" s="14">
        <v>538</v>
      </c>
      <c r="J259" s="14">
        <v>2935</v>
      </c>
      <c r="K259" s="14">
        <v>69749</v>
      </c>
      <c r="L259" s="14">
        <v>91924</v>
      </c>
      <c r="M259" s="3" t="s">
        <v>24</v>
      </c>
      <c r="N259" s="10">
        <f>SUM(Posts[[#This Row],[Likes]],Posts[[#This Row],[Shares]],Posts[[#This Row],[Comments]])/Posts[[#This Row],[Impressions]]</f>
        <v>5.1390278926069365E-2</v>
      </c>
    </row>
    <row r="260" spans="1:14" x14ac:dyDescent="0.25">
      <c r="A260" s="3" t="s">
        <v>286</v>
      </c>
      <c r="B260" s="3" t="s">
        <v>19</v>
      </c>
      <c r="C260" s="6">
        <v>45592</v>
      </c>
      <c r="D260" s="3" t="s">
        <v>29</v>
      </c>
      <c r="E260" s="3" t="s">
        <v>344</v>
      </c>
      <c r="F260" s="3" t="s">
        <v>345</v>
      </c>
      <c r="G260" s="14">
        <v>7560</v>
      </c>
      <c r="H260" s="14">
        <v>1139</v>
      </c>
      <c r="I260" s="14">
        <v>248</v>
      </c>
      <c r="J260" s="14">
        <v>1624</v>
      </c>
      <c r="K260" s="14">
        <v>72237</v>
      </c>
      <c r="L260" s="14">
        <v>177084</v>
      </c>
      <c r="M260" s="3" t="s">
        <v>21</v>
      </c>
      <c r="N260" s="10">
        <f>SUM(Posts[[#This Row],[Likes]],Posts[[#This Row],[Shares]],Posts[[#This Row],[Comments]])/Posts[[#This Row],[Impressions]]</f>
        <v>5.0524045085947912E-2</v>
      </c>
    </row>
    <row r="261" spans="1:14" x14ac:dyDescent="0.25">
      <c r="A261" s="3" t="s">
        <v>244</v>
      </c>
      <c r="B261" s="3" t="s">
        <v>16</v>
      </c>
      <c r="C261" s="6">
        <v>45685</v>
      </c>
      <c r="D261" s="3" t="s">
        <v>29</v>
      </c>
      <c r="E261" s="3" t="s">
        <v>352</v>
      </c>
      <c r="F261" s="3" t="s">
        <v>353</v>
      </c>
      <c r="G261" s="14">
        <v>9943</v>
      </c>
      <c r="H261" s="14">
        <v>1274</v>
      </c>
      <c r="I261" s="14">
        <v>336</v>
      </c>
      <c r="J261" s="14">
        <v>389</v>
      </c>
      <c r="K261" s="14">
        <v>6145</v>
      </c>
      <c r="L261" s="14">
        <v>231305</v>
      </c>
      <c r="M261" s="3" t="s">
        <v>14</v>
      </c>
      <c r="N261" s="10">
        <f>SUM(Posts[[#This Row],[Likes]],Posts[[#This Row],[Shares]],Posts[[#This Row],[Comments]])/Posts[[#This Row],[Impressions]]</f>
        <v>4.9947039623008581E-2</v>
      </c>
    </row>
    <row r="262" spans="1:14" x14ac:dyDescent="0.25">
      <c r="A262" s="3" t="s">
        <v>196</v>
      </c>
      <c r="B262" s="3" t="s">
        <v>16</v>
      </c>
      <c r="C262" s="6">
        <v>45657</v>
      </c>
      <c r="D262" s="3" t="s">
        <v>13</v>
      </c>
      <c r="E262" s="3" t="s">
        <v>344</v>
      </c>
      <c r="F262" s="3" t="s">
        <v>345</v>
      </c>
      <c r="G262" s="14">
        <v>10717</v>
      </c>
      <c r="H262" s="14">
        <v>760</v>
      </c>
      <c r="I262" s="14">
        <v>460</v>
      </c>
      <c r="J262" s="14">
        <v>1316</v>
      </c>
      <c r="K262" s="14">
        <v>18164</v>
      </c>
      <c r="L262" s="14">
        <v>240641</v>
      </c>
      <c r="M262" s="3" t="s">
        <v>37</v>
      </c>
      <c r="N262" s="10">
        <f>SUM(Posts[[#This Row],[Likes]],Posts[[#This Row],[Shares]],Posts[[#This Row],[Comments]])/Posts[[#This Row],[Impressions]]</f>
        <v>4.9605013277039242E-2</v>
      </c>
    </row>
    <row r="263" spans="1:14" x14ac:dyDescent="0.25">
      <c r="A263" s="3" t="s">
        <v>90</v>
      </c>
      <c r="B263" s="3" t="s">
        <v>12</v>
      </c>
      <c r="C263" s="6">
        <v>45744</v>
      </c>
      <c r="D263" s="3" t="s">
        <v>20</v>
      </c>
      <c r="E263" s="3" t="s">
        <v>344</v>
      </c>
      <c r="F263" s="3" t="s">
        <v>345</v>
      </c>
      <c r="G263" s="14">
        <v>6363</v>
      </c>
      <c r="H263" s="14">
        <v>1341</v>
      </c>
      <c r="I263" s="14">
        <v>222</v>
      </c>
      <c r="J263" s="14">
        <v>2712</v>
      </c>
      <c r="K263" s="14">
        <v>19987</v>
      </c>
      <c r="L263" s="14">
        <v>160585</v>
      </c>
      <c r="M263" s="3" t="s">
        <v>21</v>
      </c>
      <c r="N263" s="10">
        <f>SUM(Posts[[#This Row],[Likes]],Posts[[#This Row],[Shares]],Posts[[#This Row],[Comments]])/Posts[[#This Row],[Impressions]]</f>
        <v>4.9357038328611019E-2</v>
      </c>
    </row>
    <row r="264" spans="1:14" x14ac:dyDescent="0.25">
      <c r="A264" s="3" t="s">
        <v>155</v>
      </c>
      <c r="B264" s="3" t="s">
        <v>16</v>
      </c>
      <c r="C264" s="6">
        <v>45564</v>
      </c>
      <c r="D264" s="3" t="s">
        <v>29</v>
      </c>
      <c r="E264" s="3" t="s">
        <v>346</v>
      </c>
      <c r="F264" s="3" t="s">
        <v>347</v>
      </c>
      <c r="G264" s="14">
        <v>10472</v>
      </c>
      <c r="H264" s="14">
        <v>401</v>
      </c>
      <c r="I264" s="14">
        <v>668</v>
      </c>
      <c r="J264" s="14">
        <v>383</v>
      </c>
      <c r="K264" s="14">
        <v>37571</v>
      </c>
      <c r="L264" s="14">
        <v>249203</v>
      </c>
      <c r="M264" s="3" t="s">
        <v>21</v>
      </c>
      <c r="N264" s="10">
        <f>SUM(Posts[[#This Row],[Likes]],Posts[[#This Row],[Shares]],Posts[[#This Row],[Comments]])/Posts[[#This Row],[Impressions]]</f>
        <v>4.6311641513143903E-2</v>
      </c>
    </row>
    <row r="265" spans="1:14" x14ac:dyDescent="0.25">
      <c r="A265" s="3" t="s">
        <v>40</v>
      </c>
      <c r="B265" s="3" t="s">
        <v>19</v>
      </c>
      <c r="C265" s="6">
        <v>45530</v>
      </c>
      <c r="D265" s="3" t="s">
        <v>29</v>
      </c>
      <c r="E265" s="3" t="s">
        <v>354</v>
      </c>
      <c r="F265" s="3" t="s">
        <v>355</v>
      </c>
      <c r="G265" s="14">
        <v>4193</v>
      </c>
      <c r="H265" s="14">
        <v>924</v>
      </c>
      <c r="I265" s="14">
        <v>707</v>
      </c>
      <c r="J265" s="14">
        <v>2696</v>
      </c>
      <c r="K265" s="14">
        <v>55075</v>
      </c>
      <c r="L265" s="14">
        <v>126652</v>
      </c>
      <c r="M265" s="3" t="s">
        <v>24</v>
      </c>
      <c r="N265" s="10">
        <f>SUM(Posts[[#This Row],[Likes]],Posts[[#This Row],[Shares]],Posts[[#This Row],[Comments]])/Posts[[#This Row],[Impressions]]</f>
        <v>4.5984271863057827E-2</v>
      </c>
    </row>
    <row r="266" spans="1:14" x14ac:dyDescent="0.25">
      <c r="A266" s="3" t="s">
        <v>83</v>
      </c>
      <c r="B266" s="3" t="s">
        <v>19</v>
      </c>
      <c r="C266" s="6">
        <v>45762</v>
      </c>
      <c r="D266" s="3" t="s">
        <v>29</v>
      </c>
      <c r="E266" s="3" t="s">
        <v>348</v>
      </c>
      <c r="F266" s="3" t="s">
        <v>349</v>
      </c>
      <c r="G266" s="14">
        <v>5419</v>
      </c>
      <c r="H266" s="14">
        <v>1150</v>
      </c>
      <c r="I266" s="14">
        <v>656</v>
      </c>
      <c r="J266" s="14">
        <v>1990</v>
      </c>
      <c r="K266" s="14">
        <v>410</v>
      </c>
      <c r="L266" s="14">
        <v>158154</v>
      </c>
      <c r="M266" s="3" t="s">
        <v>21</v>
      </c>
      <c r="N266" s="10">
        <f>SUM(Posts[[#This Row],[Likes]],Posts[[#This Row],[Shares]],Posts[[#This Row],[Comments]])/Posts[[#This Row],[Impressions]]</f>
        <v>4.5683321319726342E-2</v>
      </c>
    </row>
    <row r="267" spans="1:14" x14ac:dyDescent="0.25">
      <c r="A267" s="3" t="s">
        <v>170</v>
      </c>
      <c r="B267" s="3" t="s">
        <v>16</v>
      </c>
      <c r="C267" s="6">
        <v>45516</v>
      </c>
      <c r="D267" s="3" t="s">
        <v>29</v>
      </c>
      <c r="E267" s="3" t="s">
        <v>346</v>
      </c>
      <c r="F267" s="3" t="s">
        <v>347</v>
      </c>
      <c r="G267" s="14">
        <v>8376</v>
      </c>
      <c r="H267" s="14">
        <v>1154</v>
      </c>
      <c r="I267" s="14">
        <v>422</v>
      </c>
      <c r="J267" s="14">
        <v>1907</v>
      </c>
      <c r="K267" s="14">
        <v>36874</v>
      </c>
      <c r="L267" s="14">
        <v>218486</v>
      </c>
      <c r="M267" s="3" t="s">
        <v>21</v>
      </c>
      <c r="N267" s="10">
        <f>SUM(Posts[[#This Row],[Likes]],Posts[[#This Row],[Shares]],Posts[[#This Row],[Comments]])/Posts[[#This Row],[Impressions]]</f>
        <v>4.5549829279679245E-2</v>
      </c>
    </row>
    <row r="268" spans="1:14" x14ac:dyDescent="0.25">
      <c r="A268" s="3" t="s">
        <v>308</v>
      </c>
      <c r="B268" s="3" t="s">
        <v>33</v>
      </c>
      <c r="C268" s="6">
        <v>45786</v>
      </c>
      <c r="D268" s="3" t="s">
        <v>29</v>
      </c>
      <c r="E268" s="3" t="s">
        <v>354</v>
      </c>
      <c r="F268" s="3" t="s">
        <v>355</v>
      </c>
      <c r="G268" s="14">
        <v>8988</v>
      </c>
      <c r="H268" s="14">
        <v>228</v>
      </c>
      <c r="I268" s="14">
        <v>766</v>
      </c>
      <c r="J268" s="14">
        <v>652</v>
      </c>
      <c r="K268" s="14">
        <v>63789</v>
      </c>
      <c r="L268" s="14">
        <v>219785</v>
      </c>
      <c r="M268" s="3" t="s">
        <v>21</v>
      </c>
      <c r="N268" s="10">
        <f>SUM(Posts[[#This Row],[Likes]],Posts[[#This Row],[Shares]],Posts[[#This Row],[Comments]])/Posts[[#This Row],[Impressions]]</f>
        <v>4.541711217781013E-2</v>
      </c>
    </row>
    <row r="269" spans="1:14" x14ac:dyDescent="0.25">
      <c r="A269" s="3" t="s">
        <v>323</v>
      </c>
      <c r="B269" s="3" t="s">
        <v>12</v>
      </c>
      <c r="C269" s="6">
        <v>45924</v>
      </c>
      <c r="D269" s="3" t="s">
        <v>20</v>
      </c>
      <c r="E269" s="3" t="s">
        <v>356</v>
      </c>
      <c r="F269" s="3" t="s">
        <v>357</v>
      </c>
      <c r="G269" s="14">
        <v>3342</v>
      </c>
      <c r="H269" s="14">
        <v>787</v>
      </c>
      <c r="I269" s="14">
        <v>375</v>
      </c>
      <c r="J269" s="14">
        <v>907</v>
      </c>
      <c r="K269" s="14">
        <v>85823</v>
      </c>
      <c r="L269" s="14">
        <v>99189</v>
      </c>
      <c r="M269" s="3" t="s">
        <v>17</v>
      </c>
      <c r="N269" s="10">
        <f>SUM(Posts[[#This Row],[Likes]],Posts[[#This Row],[Shares]],Posts[[#This Row],[Comments]])/Posts[[#This Row],[Impressions]]</f>
        <v>4.5408260996683103E-2</v>
      </c>
    </row>
    <row r="270" spans="1:14" x14ac:dyDescent="0.25">
      <c r="A270" s="3" t="s">
        <v>115</v>
      </c>
      <c r="B270" s="3" t="s">
        <v>33</v>
      </c>
      <c r="C270" s="6">
        <v>45446</v>
      </c>
      <c r="D270" s="3" t="s">
        <v>13</v>
      </c>
      <c r="E270" s="3" t="s">
        <v>350</v>
      </c>
      <c r="F270" s="3" t="s">
        <v>358</v>
      </c>
      <c r="G270" s="14">
        <v>8941</v>
      </c>
      <c r="H270" s="14">
        <v>911</v>
      </c>
      <c r="I270" s="14">
        <v>166</v>
      </c>
      <c r="J270" s="14">
        <v>1217</v>
      </c>
      <c r="K270" s="14">
        <v>68817</v>
      </c>
      <c r="L270" s="14">
        <v>221180</v>
      </c>
      <c r="M270" s="3" t="s">
        <v>37</v>
      </c>
      <c r="N270" s="10">
        <f>SUM(Posts[[#This Row],[Likes]],Posts[[#This Row],[Shares]],Posts[[#This Row],[Comments]])/Posts[[#This Row],[Impressions]]</f>
        <v>4.5293426168731353E-2</v>
      </c>
    </row>
    <row r="271" spans="1:14" x14ac:dyDescent="0.25">
      <c r="A271" s="3" t="s">
        <v>159</v>
      </c>
      <c r="B271" s="3" t="s">
        <v>19</v>
      </c>
      <c r="C271" s="6">
        <v>45931</v>
      </c>
      <c r="D271" s="3" t="s">
        <v>29</v>
      </c>
      <c r="E271" s="3" t="s">
        <v>27</v>
      </c>
      <c r="F271" s="3"/>
      <c r="G271" s="14">
        <v>6188</v>
      </c>
      <c r="H271" s="14">
        <v>774</v>
      </c>
      <c r="I271" s="14">
        <v>647</v>
      </c>
      <c r="J271" s="14">
        <v>1830</v>
      </c>
      <c r="K271" s="14">
        <v>55436</v>
      </c>
      <c r="L271" s="14">
        <v>175542</v>
      </c>
      <c r="M271" s="3" t="s">
        <v>17</v>
      </c>
      <c r="N271" s="10">
        <f>SUM(Posts[[#This Row],[Likes]],Posts[[#This Row],[Shares]],Posts[[#This Row],[Comments]])/Posts[[#This Row],[Impressions]]</f>
        <v>4.3345752013763089E-2</v>
      </c>
    </row>
    <row r="272" spans="1:14" x14ac:dyDescent="0.25">
      <c r="A272" s="3" t="s">
        <v>63</v>
      </c>
      <c r="B272" s="3" t="s">
        <v>19</v>
      </c>
      <c r="C272" s="6">
        <v>45705</v>
      </c>
      <c r="D272" s="3" t="s">
        <v>20</v>
      </c>
      <c r="E272" s="3" t="s">
        <v>346</v>
      </c>
      <c r="F272" s="3" t="s">
        <v>347</v>
      </c>
      <c r="G272" s="14">
        <v>7989</v>
      </c>
      <c r="H272" s="14">
        <v>1206</v>
      </c>
      <c r="I272" s="14">
        <v>376</v>
      </c>
      <c r="J272" s="14">
        <v>2769</v>
      </c>
      <c r="K272" s="14">
        <v>27550</v>
      </c>
      <c r="L272" s="14">
        <v>221749</v>
      </c>
      <c r="M272" s="3" t="s">
        <v>21</v>
      </c>
      <c r="N272" s="10">
        <f>SUM(Posts[[#This Row],[Likes]],Posts[[#This Row],[Shares]],Posts[[#This Row],[Comments]])/Posts[[#This Row],[Impressions]]</f>
        <v>4.3161412227338117E-2</v>
      </c>
    </row>
    <row r="273" spans="1:14" x14ac:dyDescent="0.25">
      <c r="A273" s="3" t="s">
        <v>95</v>
      </c>
      <c r="B273" s="3" t="s">
        <v>33</v>
      </c>
      <c r="C273" s="6">
        <v>45749</v>
      </c>
      <c r="D273" s="3" t="s">
        <v>20</v>
      </c>
      <c r="E273" s="3" t="s">
        <v>356</v>
      </c>
      <c r="F273" s="3" t="s">
        <v>357</v>
      </c>
      <c r="G273" s="14">
        <v>6858</v>
      </c>
      <c r="H273" s="14">
        <v>415</v>
      </c>
      <c r="I273" s="14">
        <v>366</v>
      </c>
      <c r="J273" s="14">
        <v>2761</v>
      </c>
      <c r="K273" s="14">
        <v>2988</v>
      </c>
      <c r="L273" s="14">
        <v>177348</v>
      </c>
      <c r="M273" s="3" t="s">
        <v>14</v>
      </c>
      <c r="N273" s="10">
        <f>SUM(Posts[[#This Row],[Likes]],Posts[[#This Row],[Shares]],Posts[[#This Row],[Comments]])/Posts[[#This Row],[Impressions]]</f>
        <v>4.3073505198818141E-2</v>
      </c>
    </row>
    <row r="274" spans="1:14" x14ac:dyDescent="0.25">
      <c r="A274" s="3" t="s">
        <v>167</v>
      </c>
      <c r="B274" s="3" t="s">
        <v>19</v>
      </c>
      <c r="C274" s="6">
        <v>45741</v>
      </c>
      <c r="D274" s="3" t="s">
        <v>29</v>
      </c>
      <c r="E274" s="3" t="s">
        <v>348</v>
      </c>
      <c r="F274" s="3" t="s">
        <v>349</v>
      </c>
      <c r="G274" s="14">
        <v>5900</v>
      </c>
      <c r="H274" s="14">
        <v>546</v>
      </c>
      <c r="I274" s="14">
        <v>592</v>
      </c>
      <c r="J274" s="14">
        <v>1594</v>
      </c>
      <c r="K274" s="14">
        <v>38627</v>
      </c>
      <c r="L274" s="14">
        <v>164398</v>
      </c>
      <c r="M274" s="3" t="s">
        <v>37</v>
      </c>
      <c r="N274" s="10">
        <f>SUM(Posts[[#This Row],[Likes]],Posts[[#This Row],[Shares]],Posts[[#This Row],[Comments]])/Posts[[#This Row],[Impressions]]</f>
        <v>4.2810739790021778E-2</v>
      </c>
    </row>
    <row r="275" spans="1:14" x14ac:dyDescent="0.25">
      <c r="A275" s="3" t="s">
        <v>232</v>
      </c>
      <c r="B275" s="3" t="s">
        <v>16</v>
      </c>
      <c r="C275" s="6">
        <v>45655</v>
      </c>
      <c r="D275" s="3" t="s">
        <v>29</v>
      </c>
      <c r="E275" s="3" t="s">
        <v>54</v>
      </c>
      <c r="F275" s="3"/>
      <c r="G275" s="14">
        <v>8288</v>
      </c>
      <c r="H275" s="14">
        <v>1401</v>
      </c>
      <c r="I275" s="14">
        <v>819</v>
      </c>
      <c r="J275" s="14">
        <v>1235</v>
      </c>
      <c r="K275" s="14">
        <v>33446</v>
      </c>
      <c r="L275" s="14">
        <v>248786</v>
      </c>
      <c r="M275" s="3" t="s">
        <v>14</v>
      </c>
      <c r="N275" s="10">
        <f>SUM(Posts[[#This Row],[Likes]],Posts[[#This Row],[Shares]],Posts[[#This Row],[Comments]])/Posts[[#This Row],[Impressions]]</f>
        <v>4.2237103373984064E-2</v>
      </c>
    </row>
    <row r="276" spans="1:14" x14ac:dyDescent="0.25">
      <c r="A276" s="3" t="s">
        <v>299</v>
      </c>
      <c r="B276" s="3" t="s">
        <v>16</v>
      </c>
      <c r="C276" s="6">
        <v>45658</v>
      </c>
      <c r="D276" s="3" t="s">
        <v>23</v>
      </c>
      <c r="E276" s="3" t="s">
        <v>352</v>
      </c>
      <c r="F276" s="3" t="s">
        <v>353</v>
      </c>
      <c r="G276" s="14">
        <v>8283</v>
      </c>
      <c r="H276" s="14">
        <v>720</v>
      </c>
      <c r="I276" s="14">
        <v>888</v>
      </c>
      <c r="J276" s="14">
        <v>611</v>
      </c>
      <c r="K276" s="14">
        <v>52791</v>
      </c>
      <c r="L276" s="14">
        <v>235229</v>
      </c>
      <c r="M276" s="3" t="s">
        <v>14</v>
      </c>
      <c r="N276" s="10">
        <f>SUM(Posts[[#This Row],[Likes]],Posts[[#This Row],[Shares]],Posts[[#This Row],[Comments]])/Posts[[#This Row],[Impressions]]</f>
        <v>4.2048386891072105E-2</v>
      </c>
    </row>
    <row r="277" spans="1:14" x14ac:dyDescent="0.25">
      <c r="A277" s="3" t="s">
        <v>231</v>
      </c>
      <c r="B277" s="3" t="s">
        <v>19</v>
      </c>
      <c r="C277" s="6">
        <v>45467</v>
      </c>
      <c r="D277" s="3" t="s">
        <v>13</v>
      </c>
      <c r="E277" s="3" t="s">
        <v>350</v>
      </c>
      <c r="F277" s="3" t="s">
        <v>358</v>
      </c>
      <c r="G277" s="14">
        <v>6632</v>
      </c>
      <c r="H277" s="14">
        <v>254</v>
      </c>
      <c r="I277" s="14">
        <v>525</v>
      </c>
      <c r="J277" s="14">
        <v>1013</v>
      </c>
      <c r="K277" s="14">
        <v>13838</v>
      </c>
      <c r="L277" s="14">
        <v>180180</v>
      </c>
      <c r="M277" s="3" t="s">
        <v>14</v>
      </c>
      <c r="N277" s="10">
        <f>SUM(Posts[[#This Row],[Likes]],Posts[[#This Row],[Shares]],Posts[[#This Row],[Comments]])/Posts[[#This Row],[Impressions]]</f>
        <v>4.1131091131091133E-2</v>
      </c>
    </row>
    <row r="278" spans="1:14" x14ac:dyDescent="0.25">
      <c r="A278" s="3" t="s">
        <v>281</v>
      </c>
      <c r="B278" s="3" t="s">
        <v>12</v>
      </c>
      <c r="C278" s="6">
        <v>45917</v>
      </c>
      <c r="D278" s="3" t="s">
        <v>29</v>
      </c>
      <c r="E278" s="3" t="s">
        <v>352</v>
      </c>
      <c r="F278" s="3" t="s">
        <v>353</v>
      </c>
      <c r="G278" s="14">
        <v>2117</v>
      </c>
      <c r="H278" s="14">
        <v>1133</v>
      </c>
      <c r="I278" s="14">
        <v>203</v>
      </c>
      <c r="J278" s="14">
        <v>1173</v>
      </c>
      <c r="K278" s="14">
        <v>40125</v>
      </c>
      <c r="L278" s="14">
        <v>85379</v>
      </c>
      <c r="M278" s="3" t="s">
        <v>17</v>
      </c>
      <c r="N278" s="10">
        <f>SUM(Posts[[#This Row],[Likes]],Posts[[#This Row],[Shares]],Posts[[#This Row],[Comments]])/Posts[[#This Row],[Impressions]]</f>
        <v>4.0443200318579509E-2</v>
      </c>
    </row>
    <row r="279" spans="1:14" x14ac:dyDescent="0.25">
      <c r="A279" s="3" t="s">
        <v>207</v>
      </c>
      <c r="B279" s="3" t="s">
        <v>12</v>
      </c>
      <c r="C279" s="6">
        <v>45504</v>
      </c>
      <c r="D279" s="3" t="s">
        <v>23</v>
      </c>
      <c r="E279" s="3" t="s">
        <v>348</v>
      </c>
      <c r="F279" s="3" t="s">
        <v>349</v>
      </c>
      <c r="G279" s="14">
        <v>7122</v>
      </c>
      <c r="H279" s="14">
        <v>628</v>
      </c>
      <c r="I279" s="14">
        <v>757</v>
      </c>
      <c r="J279" s="14">
        <v>2313</v>
      </c>
      <c r="K279" s="14">
        <v>50924</v>
      </c>
      <c r="L279" s="14">
        <v>210954</v>
      </c>
      <c r="M279" s="3" t="s">
        <v>37</v>
      </c>
      <c r="N279" s="10">
        <f>SUM(Posts[[#This Row],[Likes]],Posts[[#This Row],[Shares]],Posts[[#This Row],[Comments]])/Posts[[#This Row],[Impressions]]</f>
        <v>4.0326327066564277E-2</v>
      </c>
    </row>
    <row r="280" spans="1:14" x14ac:dyDescent="0.25">
      <c r="A280" s="3" t="s">
        <v>104</v>
      </c>
      <c r="B280" s="3" t="s">
        <v>12</v>
      </c>
      <c r="C280" s="6">
        <v>45922</v>
      </c>
      <c r="D280" s="3" t="s">
        <v>23</v>
      </c>
      <c r="E280" s="3" t="s">
        <v>360</v>
      </c>
      <c r="F280" s="3" t="s">
        <v>361</v>
      </c>
      <c r="G280" s="14">
        <v>8996</v>
      </c>
      <c r="H280" s="14">
        <v>329</v>
      </c>
      <c r="I280" s="14">
        <v>378</v>
      </c>
      <c r="J280" s="14">
        <v>2384</v>
      </c>
      <c r="K280" s="14">
        <v>39404</v>
      </c>
      <c r="L280" s="14">
        <v>242724</v>
      </c>
      <c r="M280" s="3" t="s">
        <v>17</v>
      </c>
      <c r="N280" s="10">
        <f>SUM(Posts[[#This Row],[Likes]],Posts[[#This Row],[Shares]],Posts[[#This Row],[Comments]])/Posts[[#This Row],[Impressions]]</f>
        <v>3.9975445361810122E-2</v>
      </c>
    </row>
    <row r="281" spans="1:14" x14ac:dyDescent="0.25">
      <c r="A281" s="3" t="s">
        <v>38</v>
      </c>
      <c r="B281" s="3" t="s">
        <v>12</v>
      </c>
      <c r="C281" s="6">
        <v>45906</v>
      </c>
      <c r="D281" s="3" t="s">
        <v>20</v>
      </c>
      <c r="E281" s="3" t="s">
        <v>354</v>
      </c>
      <c r="F281" s="3" t="s">
        <v>355</v>
      </c>
      <c r="G281" s="14">
        <v>7124</v>
      </c>
      <c r="H281" s="14">
        <v>469</v>
      </c>
      <c r="I281" s="14">
        <v>851</v>
      </c>
      <c r="J281" s="14">
        <v>2571</v>
      </c>
      <c r="K281" s="14">
        <v>33802</v>
      </c>
      <c r="L281" s="14">
        <v>216313</v>
      </c>
      <c r="M281" s="3" t="s">
        <v>17</v>
      </c>
      <c r="N281" s="10">
        <f>SUM(Posts[[#This Row],[Likes]],Posts[[#This Row],[Shares]],Posts[[#This Row],[Comments]])/Posts[[#This Row],[Impressions]]</f>
        <v>3.9036026498638549E-2</v>
      </c>
    </row>
    <row r="282" spans="1:14" x14ac:dyDescent="0.25">
      <c r="A282" s="3" t="s">
        <v>300</v>
      </c>
      <c r="B282" s="3" t="s">
        <v>19</v>
      </c>
      <c r="C282" s="6">
        <v>45509</v>
      </c>
      <c r="D282" s="3" t="s">
        <v>20</v>
      </c>
      <c r="E282" s="3" t="s">
        <v>354</v>
      </c>
      <c r="F282" s="3" t="s">
        <v>355</v>
      </c>
      <c r="G282" s="14">
        <v>4048</v>
      </c>
      <c r="H282" s="14">
        <v>751</v>
      </c>
      <c r="I282" s="14">
        <v>930</v>
      </c>
      <c r="J282" s="14">
        <v>1382</v>
      </c>
      <c r="K282" s="14">
        <v>16844</v>
      </c>
      <c r="L282" s="14">
        <v>148177</v>
      </c>
      <c r="M282" s="3" t="s">
        <v>24</v>
      </c>
      <c r="N282" s="10">
        <f>SUM(Posts[[#This Row],[Likes]],Posts[[#This Row],[Shares]],Posts[[#This Row],[Comments]])/Posts[[#This Row],[Impressions]]</f>
        <v>3.8663220337839206E-2</v>
      </c>
    </row>
    <row r="283" spans="1:14" x14ac:dyDescent="0.25">
      <c r="A283" s="3" t="s">
        <v>166</v>
      </c>
      <c r="B283" s="3" t="s">
        <v>16</v>
      </c>
      <c r="C283" s="6">
        <v>45933</v>
      </c>
      <c r="D283" s="3" t="s">
        <v>13</v>
      </c>
      <c r="E283" s="3" t="s">
        <v>356</v>
      </c>
      <c r="F283" s="3" t="s">
        <v>357</v>
      </c>
      <c r="G283" s="14">
        <v>6777</v>
      </c>
      <c r="H283" s="14">
        <v>617</v>
      </c>
      <c r="I283" s="14">
        <v>551</v>
      </c>
      <c r="J283" s="14">
        <v>2109</v>
      </c>
      <c r="K283" s="14">
        <v>18559</v>
      </c>
      <c r="L283" s="14">
        <v>208452</v>
      </c>
      <c r="M283" s="3" t="s">
        <v>17</v>
      </c>
      <c r="N283" s="10">
        <f>SUM(Posts[[#This Row],[Likes]],Posts[[#This Row],[Shares]],Posts[[#This Row],[Comments]])/Posts[[#This Row],[Impressions]]</f>
        <v>3.8114290100358834E-2</v>
      </c>
    </row>
    <row r="284" spans="1:14" x14ac:dyDescent="0.25">
      <c r="A284" s="3" t="s">
        <v>68</v>
      </c>
      <c r="B284" s="3" t="s">
        <v>33</v>
      </c>
      <c r="C284" s="6">
        <v>45916</v>
      </c>
      <c r="D284" s="3" t="s">
        <v>20</v>
      </c>
      <c r="E284" s="3" t="s">
        <v>54</v>
      </c>
      <c r="F284" s="3"/>
      <c r="G284" s="14">
        <v>6809</v>
      </c>
      <c r="H284" s="14">
        <v>397</v>
      </c>
      <c r="I284" s="14">
        <v>813</v>
      </c>
      <c r="J284" s="14">
        <v>1125</v>
      </c>
      <c r="K284" s="14">
        <v>12206</v>
      </c>
      <c r="L284" s="14">
        <v>218136</v>
      </c>
      <c r="M284" s="3" t="s">
        <v>17</v>
      </c>
      <c r="N284" s="10">
        <f>SUM(Posts[[#This Row],[Likes]],Posts[[#This Row],[Shares]],Posts[[#This Row],[Comments]])/Posts[[#This Row],[Impressions]]</f>
        <v>3.6761469908680823E-2</v>
      </c>
    </row>
    <row r="285" spans="1:14" x14ac:dyDescent="0.25">
      <c r="A285" s="3" t="s">
        <v>306</v>
      </c>
      <c r="B285" s="3" t="s">
        <v>16</v>
      </c>
      <c r="C285" s="6">
        <v>45738</v>
      </c>
      <c r="D285" s="3" t="s">
        <v>23</v>
      </c>
      <c r="E285" s="3" t="s">
        <v>350</v>
      </c>
      <c r="F285" s="3" t="s">
        <v>358</v>
      </c>
      <c r="G285" s="14">
        <v>3917</v>
      </c>
      <c r="H285" s="14">
        <v>865</v>
      </c>
      <c r="I285" s="14">
        <v>759</v>
      </c>
      <c r="J285" s="14">
        <v>2282</v>
      </c>
      <c r="K285" s="14">
        <v>56125</v>
      </c>
      <c r="L285" s="14">
        <v>154014</v>
      </c>
      <c r="M285" s="3" t="s">
        <v>14</v>
      </c>
      <c r="N285" s="10">
        <f>SUM(Posts[[#This Row],[Likes]],Posts[[#This Row],[Shares]],Posts[[#This Row],[Comments]])/Posts[[#This Row],[Impressions]]</f>
        <v>3.5977248821535704E-2</v>
      </c>
    </row>
    <row r="286" spans="1:14" x14ac:dyDescent="0.25">
      <c r="A286" s="3" t="s">
        <v>305</v>
      </c>
      <c r="B286" s="3" t="s">
        <v>33</v>
      </c>
      <c r="C286" s="6">
        <v>45918</v>
      </c>
      <c r="D286" s="3" t="s">
        <v>23</v>
      </c>
      <c r="E286" s="3" t="s">
        <v>352</v>
      </c>
      <c r="F286" s="3" t="s">
        <v>353</v>
      </c>
      <c r="G286" s="14">
        <v>3828</v>
      </c>
      <c r="H286" s="14">
        <v>203</v>
      </c>
      <c r="I286" s="14">
        <v>506</v>
      </c>
      <c r="J286" s="14">
        <v>2440</v>
      </c>
      <c r="K286" s="14">
        <v>63650</v>
      </c>
      <c r="L286" s="14">
        <v>126365</v>
      </c>
      <c r="M286" s="3" t="s">
        <v>17</v>
      </c>
      <c r="N286" s="10">
        <f>SUM(Posts[[#This Row],[Likes]],Posts[[#This Row],[Shares]],Posts[[#This Row],[Comments]])/Posts[[#This Row],[Impressions]]</f>
        <v>3.5903929094290347E-2</v>
      </c>
    </row>
    <row r="287" spans="1:14" x14ac:dyDescent="0.25">
      <c r="A287" s="3" t="s">
        <v>203</v>
      </c>
      <c r="B287" s="3" t="s">
        <v>12</v>
      </c>
      <c r="C287" s="6">
        <v>45940</v>
      </c>
      <c r="D287" s="3" t="s">
        <v>29</v>
      </c>
      <c r="E287" s="3" t="s">
        <v>348</v>
      </c>
      <c r="F287" s="3" t="s">
        <v>349</v>
      </c>
      <c r="G287" s="14">
        <v>6621</v>
      </c>
      <c r="H287" s="14">
        <v>922</v>
      </c>
      <c r="I287" s="14">
        <v>930</v>
      </c>
      <c r="J287" s="14">
        <v>694</v>
      </c>
      <c r="K287" s="14">
        <v>839</v>
      </c>
      <c r="L287" s="14">
        <v>243532</v>
      </c>
      <c r="M287" s="3" t="s">
        <v>17</v>
      </c>
      <c r="N287" s="10">
        <f>SUM(Posts[[#This Row],[Likes]],Posts[[#This Row],[Shares]],Posts[[#This Row],[Comments]])/Posts[[#This Row],[Impressions]]</f>
        <v>3.479214230573395E-2</v>
      </c>
    </row>
    <row r="288" spans="1:14" x14ac:dyDescent="0.25">
      <c r="A288" s="3" t="s">
        <v>206</v>
      </c>
      <c r="B288" s="3" t="s">
        <v>19</v>
      </c>
      <c r="C288" s="6">
        <v>45942</v>
      </c>
      <c r="D288" s="3" t="s">
        <v>29</v>
      </c>
      <c r="E288" s="3" t="s">
        <v>354</v>
      </c>
      <c r="F288" s="3" t="s">
        <v>355</v>
      </c>
      <c r="G288" s="14">
        <v>7126</v>
      </c>
      <c r="H288" s="14">
        <v>484</v>
      </c>
      <c r="I288" s="14">
        <v>565</v>
      </c>
      <c r="J288" s="14">
        <v>573</v>
      </c>
      <c r="K288" s="14">
        <v>7389</v>
      </c>
      <c r="L288" s="14">
        <v>237096</v>
      </c>
      <c r="M288" s="3" t="s">
        <v>17</v>
      </c>
      <c r="N288" s="10">
        <f>SUM(Posts[[#This Row],[Likes]],Posts[[#This Row],[Shares]],Posts[[#This Row],[Comments]])/Posts[[#This Row],[Impressions]]</f>
        <v>3.4479704423524646E-2</v>
      </c>
    </row>
    <row r="289" spans="1:14" x14ac:dyDescent="0.25">
      <c r="A289" s="3" t="s">
        <v>135</v>
      </c>
      <c r="B289" s="3" t="s">
        <v>12</v>
      </c>
      <c r="C289" s="6">
        <v>45502</v>
      </c>
      <c r="D289" s="3" t="s">
        <v>23</v>
      </c>
      <c r="E289" s="3" t="s">
        <v>354</v>
      </c>
      <c r="F289" s="3" t="s">
        <v>355</v>
      </c>
      <c r="G289" s="14">
        <v>6164</v>
      </c>
      <c r="H289" s="14">
        <v>326</v>
      </c>
      <c r="I289" s="14">
        <v>615</v>
      </c>
      <c r="J289" s="14">
        <v>2806</v>
      </c>
      <c r="K289" s="14">
        <v>38579</v>
      </c>
      <c r="L289" s="14">
        <v>206129</v>
      </c>
      <c r="M289" s="3" t="s">
        <v>37</v>
      </c>
      <c r="N289" s="10">
        <f>SUM(Posts[[#This Row],[Likes]],Posts[[#This Row],[Shares]],Posts[[#This Row],[Comments]])/Posts[[#This Row],[Impressions]]</f>
        <v>3.4468706489625425E-2</v>
      </c>
    </row>
    <row r="290" spans="1:14" x14ac:dyDescent="0.25">
      <c r="A290" s="3" t="s">
        <v>317</v>
      </c>
      <c r="B290" s="3" t="s">
        <v>12</v>
      </c>
      <c r="C290" s="6">
        <v>45613</v>
      </c>
      <c r="D290" s="3" t="s">
        <v>29</v>
      </c>
      <c r="E290" s="3" t="s">
        <v>352</v>
      </c>
      <c r="F290" s="3" t="s">
        <v>353</v>
      </c>
      <c r="G290" s="14">
        <v>4219</v>
      </c>
      <c r="H290" s="14">
        <v>240</v>
      </c>
      <c r="I290" s="14">
        <v>670</v>
      </c>
      <c r="J290" s="14">
        <v>815</v>
      </c>
      <c r="K290" s="14">
        <v>11978</v>
      </c>
      <c r="L290" s="14">
        <v>159735</v>
      </c>
      <c r="M290" s="3" t="s">
        <v>24</v>
      </c>
      <c r="N290" s="10">
        <f>SUM(Posts[[#This Row],[Likes]],Posts[[#This Row],[Shares]],Posts[[#This Row],[Comments]])/Posts[[#This Row],[Impressions]]</f>
        <v>3.2109431245500357E-2</v>
      </c>
    </row>
    <row r="291" spans="1:14" x14ac:dyDescent="0.25">
      <c r="A291" s="3" t="s">
        <v>298</v>
      </c>
      <c r="B291" s="3" t="s">
        <v>16</v>
      </c>
      <c r="C291" s="6">
        <v>45577</v>
      </c>
      <c r="D291" s="3" t="s">
        <v>13</v>
      </c>
      <c r="E291" s="3" t="s">
        <v>360</v>
      </c>
      <c r="F291" s="3" t="s">
        <v>361</v>
      </c>
      <c r="G291" s="14">
        <v>6208</v>
      </c>
      <c r="H291" s="14">
        <v>725</v>
      </c>
      <c r="I291" s="14">
        <v>309</v>
      </c>
      <c r="J291" s="14">
        <v>848</v>
      </c>
      <c r="K291" s="14">
        <v>39319</v>
      </c>
      <c r="L291" s="14">
        <v>225763</v>
      </c>
      <c r="M291" s="3" t="s">
        <v>14</v>
      </c>
      <c r="N291" s="10">
        <f>SUM(Posts[[#This Row],[Likes]],Posts[[#This Row],[Shares]],Posts[[#This Row],[Comments]])/Posts[[#This Row],[Impressions]]</f>
        <v>3.207788698768177E-2</v>
      </c>
    </row>
    <row r="292" spans="1:14" x14ac:dyDescent="0.25">
      <c r="A292" s="3" t="s">
        <v>272</v>
      </c>
      <c r="B292" s="3" t="s">
        <v>19</v>
      </c>
      <c r="C292" s="6">
        <v>45531</v>
      </c>
      <c r="D292" s="3" t="s">
        <v>13</v>
      </c>
      <c r="E292" s="3" t="s">
        <v>54</v>
      </c>
      <c r="F292" s="3"/>
      <c r="G292" s="14">
        <v>6324</v>
      </c>
      <c r="H292" s="14">
        <v>908</v>
      </c>
      <c r="I292" s="14">
        <v>375</v>
      </c>
      <c r="J292" s="14">
        <v>758</v>
      </c>
      <c r="K292" s="14">
        <v>34850</v>
      </c>
      <c r="L292" s="14">
        <v>241039</v>
      </c>
      <c r="M292" s="3" t="s">
        <v>14</v>
      </c>
      <c r="N292" s="10">
        <f>SUM(Posts[[#This Row],[Likes]],Posts[[#This Row],[Shares]],Posts[[#This Row],[Comments]])/Posts[[#This Row],[Impressions]]</f>
        <v>3.1559208260903839E-2</v>
      </c>
    </row>
    <row r="293" spans="1:14" x14ac:dyDescent="0.25">
      <c r="A293" s="3" t="s">
        <v>198</v>
      </c>
      <c r="B293" s="3" t="s">
        <v>12</v>
      </c>
      <c r="C293" s="6">
        <v>45631</v>
      </c>
      <c r="D293" s="3" t="s">
        <v>20</v>
      </c>
      <c r="E293" s="3" t="s">
        <v>350</v>
      </c>
      <c r="F293" s="3" t="s">
        <v>358</v>
      </c>
      <c r="G293" s="14">
        <v>4125</v>
      </c>
      <c r="H293" s="14">
        <v>1364</v>
      </c>
      <c r="I293" s="14">
        <v>319</v>
      </c>
      <c r="J293" s="14">
        <v>2848</v>
      </c>
      <c r="K293" s="14">
        <v>15379</v>
      </c>
      <c r="L293" s="14">
        <v>188159</v>
      </c>
      <c r="M293" s="3" t="s">
        <v>37</v>
      </c>
      <c r="N293" s="10">
        <f>SUM(Posts[[#This Row],[Likes]],Posts[[#This Row],[Shares]],Posts[[#This Row],[Comments]])/Posts[[#This Row],[Impressions]]</f>
        <v>3.0867510988047343E-2</v>
      </c>
    </row>
    <row r="294" spans="1:14" x14ac:dyDescent="0.25">
      <c r="A294" s="3" t="s">
        <v>218</v>
      </c>
      <c r="B294" s="3" t="s">
        <v>19</v>
      </c>
      <c r="C294" s="6">
        <v>45546</v>
      </c>
      <c r="D294" s="3" t="s">
        <v>13</v>
      </c>
      <c r="E294" s="3" t="s">
        <v>354</v>
      </c>
      <c r="F294" s="3" t="s">
        <v>355</v>
      </c>
      <c r="G294" s="14">
        <v>3906</v>
      </c>
      <c r="H294" s="14">
        <v>1187</v>
      </c>
      <c r="I294" s="14">
        <v>589</v>
      </c>
      <c r="J294" s="14">
        <v>401</v>
      </c>
      <c r="K294" s="14">
        <v>52687</v>
      </c>
      <c r="L294" s="14">
        <v>196498</v>
      </c>
      <c r="M294" s="3" t="s">
        <v>14</v>
      </c>
      <c r="N294" s="10">
        <f>SUM(Posts[[#This Row],[Likes]],Posts[[#This Row],[Shares]],Posts[[#This Row],[Comments]])/Posts[[#This Row],[Impressions]]</f>
        <v>2.8916324848090057E-2</v>
      </c>
    </row>
    <row r="295" spans="1:14" x14ac:dyDescent="0.25">
      <c r="A295" s="3" t="s">
        <v>270</v>
      </c>
      <c r="B295" s="3" t="s">
        <v>12</v>
      </c>
      <c r="C295" s="6">
        <v>45669</v>
      </c>
      <c r="D295" s="3" t="s">
        <v>13</v>
      </c>
      <c r="E295" s="3" t="s">
        <v>350</v>
      </c>
      <c r="F295" s="3" t="s">
        <v>351</v>
      </c>
      <c r="G295" s="14">
        <v>4590</v>
      </c>
      <c r="H295" s="14">
        <v>713</v>
      </c>
      <c r="I295" s="14">
        <v>479</v>
      </c>
      <c r="J295" s="14">
        <v>2730</v>
      </c>
      <c r="K295" s="14">
        <v>41050</v>
      </c>
      <c r="L295" s="14">
        <v>204246</v>
      </c>
      <c r="M295" s="3" t="s">
        <v>21</v>
      </c>
      <c r="N295" s="10">
        <f>SUM(Posts[[#This Row],[Likes]],Posts[[#This Row],[Shares]],Posts[[#This Row],[Comments]])/Posts[[#This Row],[Impressions]]</f>
        <v>2.8308999931455206E-2</v>
      </c>
    </row>
    <row r="296" spans="1:14" x14ac:dyDescent="0.25">
      <c r="A296" s="3" t="s">
        <v>261</v>
      </c>
      <c r="B296" s="3" t="s">
        <v>16</v>
      </c>
      <c r="C296" s="6">
        <v>45523</v>
      </c>
      <c r="D296" s="3" t="s">
        <v>23</v>
      </c>
      <c r="E296" s="3" t="s">
        <v>359</v>
      </c>
      <c r="F296" s="3" t="s">
        <v>27</v>
      </c>
      <c r="G296" s="14">
        <v>3605</v>
      </c>
      <c r="H296" s="14">
        <v>206</v>
      </c>
      <c r="I296" s="14">
        <v>921</v>
      </c>
      <c r="J296" s="14">
        <v>852</v>
      </c>
      <c r="K296" s="14">
        <v>11660</v>
      </c>
      <c r="L296" s="14">
        <v>182635</v>
      </c>
      <c r="M296" s="3" t="s">
        <v>24</v>
      </c>
      <c r="N296" s="10">
        <f>SUM(Posts[[#This Row],[Likes]],Posts[[#This Row],[Shares]],Posts[[#This Row],[Comments]])/Posts[[#This Row],[Impressions]]</f>
        <v>2.590960111698196E-2</v>
      </c>
    </row>
    <row r="297" spans="1:14" x14ac:dyDescent="0.25">
      <c r="A297" s="3" t="s">
        <v>66</v>
      </c>
      <c r="B297" s="3" t="s">
        <v>12</v>
      </c>
      <c r="C297" s="6">
        <v>45915</v>
      </c>
      <c r="D297" s="3" t="s">
        <v>20</v>
      </c>
      <c r="E297" s="3" t="s">
        <v>346</v>
      </c>
      <c r="F297" s="3" t="s">
        <v>347</v>
      </c>
      <c r="G297" s="14">
        <v>5636</v>
      </c>
      <c r="H297" s="14">
        <v>303</v>
      </c>
      <c r="I297" s="14">
        <v>204</v>
      </c>
      <c r="J297" s="14">
        <v>2480</v>
      </c>
      <c r="K297" s="14">
        <v>7377</v>
      </c>
      <c r="L297" s="14">
        <v>241207</v>
      </c>
      <c r="M297" s="3" t="s">
        <v>17</v>
      </c>
      <c r="N297" s="10">
        <f>SUM(Posts[[#This Row],[Likes]],Posts[[#This Row],[Shares]],Posts[[#This Row],[Comments]])/Posts[[#This Row],[Impressions]]</f>
        <v>2.5467751765081443E-2</v>
      </c>
    </row>
    <row r="298" spans="1:14" x14ac:dyDescent="0.25">
      <c r="A298" s="3" t="s">
        <v>103</v>
      </c>
      <c r="B298" s="3" t="s">
        <v>16</v>
      </c>
      <c r="C298" s="6">
        <v>45460</v>
      </c>
      <c r="D298" s="3" t="s">
        <v>13</v>
      </c>
      <c r="E298" s="3" t="s">
        <v>352</v>
      </c>
      <c r="F298" s="3" t="s">
        <v>353</v>
      </c>
      <c r="G298" s="14">
        <v>3252</v>
      </c>
      <c r="H298" s="14">
        <v>1043</v>
      </c>
      <c r="I298" s="14">
        <v>647</v>
      </c>
      <c r="J298" s="14">
        <v>1545</v>
      </c>
      <c r="K298" s="14">
        <v>18859</v>
      </c>
      <c r="L298" s="14">
        <v>222958</v>
      </c>
      <c r="M298" s="3" t="s">
        <v>14</v>
      </c>
      <c r="N298" s="10">
        <f>SUM(Posts[[#This Row],[Likes]],Posts[[#This Row],[Shares]],Posts[[#This Row],[Comments]])/Posts[[#This Row],[Impressions]]</f>
        <v>2.2165609666394567E-2</v>
      </c>
    </row>
    <row r="299" spans="1:14" x14ac:dyDescent="0.25">
      <c r="A299" s="3" t="s">
        <v>213</v>
      </c>
      <c r="B299" s="3" t="s">
        <v>12</v>
      </c>
      <c r="C299" s="6">
        <v>45449</v>
      </c>
      <c r="D299" s="3" t="s">
        <v>29</v>
      </c>
      <c r="E299" s="3" t="s">
        <v>360</v>
      </c>
      <c r="F299" s="3" t="s">
        <v>361</v>
      </c>
      <c r="G299" s="14">
        <v>3531</v>
      </c>
      <c r="H299" s="14">
        <v>789</v>
      </c>
      <c r="I299" s="14">
        <v>467</v>
      </c>
      <c r="J299" s="14">
        <v>1867</v>
      </c>
      <c r="K299" s="14">
        <v>40816</v>
      </c>
      <c r="L299" s="14">
        <v>236037</v>
      </c>
      <c r="M299" s="3" t="s">
        <v>21</v>
      </c>
      <c r="N299" s="10">
        <f>SUM(Posts[[#This Row],[Likes]],Posts[[#This Row],[Shares]],Posts[[#This Row],[Comments]])/Posts[[#This Row],[Impressions]]</f>
        <v>2.0280718700881641E-2</v>
      </c>
    </row>
    <row r="300" spans="1:14" x14ac:dyDescent="0.25">
      <c r="A300" s="3" t="s">
        <v>22</v>
      </c>
      <c r="B300" s="3" t="s">
        <v>12</v>
      </c>
      <c r="C300" s="6">
        <v>45516</v>
      </c>
      <c r="D300" s="3" t="s">
        <v>23</v>
      </c>
      <c r="E300" s="3" t="s">
        <v>350</v>
      </c>
      <c r="F300" s="3" t="s">
        <v>351</v>
      </c>
      <c r="G300" s="14">
        <v>3581</v>
      </c>
      <c r="H300" s="14">
        <v>517</v>
      </c>
      <c r="I300" s="14">
        <v>880</v>
      </c>
      <c r="J300" s="14">
        <v>1925</v>
      </c>
      <c r="K300" s="14">
        <v>18636</v>
      </c>
      <c r="L300" s="14">
        <v>248611</v>
      </c>
      <c r="M300" s="3" t="s">
        <v>24</v>
      </c>
      <c r="N300" s="10">
        <f>SUM(Posts[[#This Row],[Likes]],Posts[[#This Row],[Shares]],Posts[[#This Row],[Comments]])/Posts[[#This Row],[Impressions]]</f>
        <v>2.0023249172401864E-2</v>
      </c>
    </row>
    <row r="301" spans="1:14" x14ac:dyDescent="0.25">
      <c r="A301" s="3" t="s">
        <v>192</v>
      </c>
      <c r="B301" s="3" t="s">
        <v>16</v>
      </c>
      <c r="C301" s="6">
        <v>45624</v>
      </c>
      <c r="D301" s="3" t="s">
        <v>29</v>
      </c>
      <c r="E301" s="3" t="s">
        <v>350</v>
      </c>
      <c r="F301" s="3" t="s">
        <v>358</v>
      </c>
      <c r="G301" s="14">
        <v>2302</v>
      </c>
      <c r="H301" s="14">
        <v>347</v>
      </c>
      <c r="I301" s="14">
        <v>642</v>
      </c>
      <c r="J301" s="14">
        <v>2175</v>
      </c>
      <c r="K301" s="14">
        <v>56378</v>
      </c>
      <c r="L301" s="14">
        <v>198056</v>
      </c>
      <c r="M301" s="3" t="s">
        <v>37</v>
      </c>
      <c r="N301" s="10">
        <f>SUM(Posts[[#This Row],[Likes]],Posts[[#This Row],[Shares]],Posts[[#This Row],[Comments]])/Posts[[#This Row],[Impressions]]</f>
        <v>1.6616512501514722E-2</v>
      </c>
    </row>
    <row r="302" spans="1:14" x14ac:dyDescent="0.25">
      <c r="C302"/>
      <c r="E302"/>
      <c r="F302"/>
      <c r="G302" s="9"/>
      <c r="H302" s="9"/>
      <c r="I302" s="9"/>
      <c r="J302" s="9"/>
      <c r="K302" s="9"/>
      <c r="L302" s="9"/>
    </row>
    <row r="303" spans="1:14" x14ac:dyDescent="0.25">
      <c r="C303"/>
      <c r="E303"/>
      <c r="F303"/>
      <c r="G303" s="9"/>
      <c r="H303" s="9"/>
      <c r="I303" s="9"/>
      <c r="J303" s="9"/>
      <c r="K303" s="9"/>
      <c r="L303" s="9"/>
    </row>
    <row r="304" spans="1:14" x14ac:dyDescent="0.25">
      <c r="C304"/>
      <c r="E304"/>
      <c r="F304"/>
      <c r="G304" s="9"/>
      <c r="H304" s="9"/>
      <c r="I304" s="9"/>
      <c r="J304" s="9"/>
      <c r="K304" s="9"/>
      <c r="L304" s="9"/>
    </row>
    <row r="305" spans="3:12" x14ac:dyDescent="0.25">
      <c r="C305"/>
      <c r="E305"/>
      <c r="F305"/>
      <c r="G305" s="9"/>
      <c r="H305" s="9"/>
      <c r="I305" s="9"/>
      <c r="J305" s="9"/>
      <c r="K305" s="9"/>
      <c r="L305" s="9"/>
    </row>
    <row r="306" spans="3:12" x14ac:dyDescent="0.25">
      <c r="C306"/>
      <c r="E306"/>
      <c r="F306"/>
      <c r="G306" s="9"/>
      <c r="H306" s="9"/>
      <c r="I306" s="9"/>
      <c r="J306" s="9"/>
      <c r="K306" s="9"/>
      <c r="L306" s="9"/>
    </row>
    <row r="307" spans="3:12" x14ac:dyDescent="0.25">
      <c r="C307"/>
      <c r="E307"/>
      <c r="F307"/>
      <c r="G307" s="9"/>
      <c r="H307" s="9"/>
      <c r="I307" s="9"/>
      <c r="J307" s="9"/>
      <c r="K307" s="9"/>
      <c r="L307" s="9"/>
    </row>
    <row r="308" spans="3:12" x14ac:dyDescent="0.25">
      <c r="C308"/>
      <c r="E308"/>
      <c r="F308"/>
      <c r="G308" s="9"/>
      <c r="H308" s="9"/>
      <c r="I308" s="9"/>
      <c r="J308" s="9"/>
      <c r="K308" s="9"/>
      <c r="L308" s="9"/>
    </row>
    <row r="309" spans="3:12" x14ac:dyDescent="0.25">
      <c r="C309"/>
      <c r="E309"/>
      <c r="F309"/>
      <c r="G309" s="9"/>
      <c r="H309" s="9"/>
      <c r="I309" s="9"/>
      <c r="J309" s="9"/>
      <c r="K309" s="9"/>
      <c r="L309" s="9"/>
    </row>
    <row r="310" spans="3:12" x14ac:dyDescent="0.25">
      <c r="C310"/>
      <c r="E310"/>
      <c r="F310"/>
      <c r="G310" s="9"/>
      <c r="H310" s="9"/>
      <c r="I310" s="9"/>
      <c r="J310" s="9"/>
      <c r="K310" s="9"/>
      <c r="L310" s="9"/>
    </row>
    <row r="311" spans="3:12" x14ac:dyDescent="0.25">
      <c r="C311"/>
      <c r="E311"/>
      <c r="F311"/>
      <c r="G311" s="9"/>
      <c r="H311" s="9"/>
      <c r="I311" s="9"/>
      <c r="J311" s="9"/>
      <c r="K311" s="9"/>
      <c r="L311" s="9"/>
    </row>
    <row r="312" spans="3:12" x14ac:dyDescent="0.25">
      <c r="C312"/>
      <c r="E312"/>
      <c r="F312"/>
      <c r="G312" s="9"/>
      <c r="H312" s="9"/>
      <c r="I312" s="9"/>
      <c r="J312" s="9"/>
      <c r="K312" s="9"/>
      <c r="L312" s="9"/>
    </row>
    <row r="313" spans="3:12" x14ac:dyDescent="0.25">
      <c r="C313"/>
      <c r="E313"/>
      <c r="F313"/>
      <c r="G313" s="9"/>
      <c r="H313" s="9"/>
      <c r="I313" s="9"/>
      <c r="J313" s="9"/>
      <c r="K313" s="9"/>
      <c r="L313" s="9"/>
    </row>
    <row r="314" spans="3:12" x14ac:dyDescent="0.25">
      <c r="C314"/>
      <c r="E314"/>
      <c r="F314"/>
      <c r="G314" s="9"/>
      <c r="H314" s="9"/>
      <c r="I314" s="9"/>
      <c r="J314" s="9"/>
      <c r="K314" s="9"/>
      <c r="L314" s="9"/>
    </row>
    <row r="315" spans="3:12" x14ac:dyDescent="0.25">
      <c r="C315"/>
      <c r="E315"/>
      <c r="F315"/>
      <c r="G315" s="9"/>
      <c r="H315" s="9"/>
      <c r="I315" s="9"/>
      <c r="J315" s="9"/>
      <c r="K315" s="9"/>
      <c r="L315" s="9"/>
    </row>
    <row r="316" spans="3:12" x14ac:dyDescent="0.25">
      <c r="C316"/>
      <c r="E316"/>
      <c r="F316"/>
      <c r="G316" s="9"/>
      <c r="H316" s="9"/>
      <c r="I316" s="9"/>
      <c r="J316" s="9"/>
      <c r="K316" s="9"/>
      <c r="L316" s="9"/>
    </row>
    <row r="317" spans="3:12" x14ac:dyDescent="0.25">
      <c r="C317"/>
      <c r="E317"/>
      <c r="F317"/>
      <c r="G317" s="9"/>
      <c r="H317" s="9"/>
      <c r="I317" s="9"/>
      <c r="J317" s="9"/>
      <c r="K317" s="9"/>
      <c r="L317" s="9"/>
    </row>
    <row r="318" spans="3:12" x14ac:dyDescent="0.25">
      <c r="C318"/>
      <c r="E318"/>
      <c r="F318"/>
      <c r="G318" s="9"/>
      <c r="H318" s="9"/>
      <c r="I318" s="9"/>
      <c r="J318" s="9"/>
      <c r="K318" s="9"/>
      <c r="L318" s="9"/>
    </row>
    <row r="319" spans="3:12" x14ac:dyDescent="0.25">
      <c r="C319"/>
      <c r="E319"/>
      <c r="F319"/>
      <c r="G319" s="9"/>
      <c r="H319" s="9"/>
      <c r="I319" s="9"/>
      <c r="J319" s="9"/>
      <c r="K319" s="9"/>
      <c r="L319" s="9"/>
    </row>
    <row r="320" spans="3:12" x14ac:dyDescent="0.25">
      <c r="C320"/>
      <c r="E320"/>
      <c r="F320"/>
      <c r="G320" s="9"/>
      <c r="H320" s="9"/>
      <c r="I320" s="9"/>
      <c r="J320" s="9"/>
      <c r="K320" s="9"/>
      <c r="L320" s="9"/>
    </row>
    <row r="321" spans="3:12" x14ac:dyDescent="0.25">
      <c r="C321"/>
      <c r="E321"/>
      <c r="F321"/>
      <c r="G321" s="9"/>
      <c r="H321" s="9"/>
      <c r="I321" s="9"/>
      <c r="J321" s="9"/>
      <c r="K321" s="9"/>
      <c r="L321" s="9"/>
    </row>
    <row r="322" spans="3:12" x14ac:dyDescent="0.25">
      <c r="C322"/>
      <c r="E322"/>
      <c r="F322"/>
      <c r="G322" s="9"/>
      <c r="H322" s="9"/>
      <c r="I322" s="9"/>
      <c r="J322" s="9"/>
      <c r="K322" s="9"/>
      <c r="L322" s="9"/>
    </row>
    <row r="323" spans="3:12" x14ac:dyDescent="0.25">
      <c r="C323"/>
      <c r="E323"/>
      <c r="F323"/>
      <c r="G323" s="9"/>
      <c r="H323" s="9"/>
      <c r="I323" s="9"/>
      <c r="J323" s="9"/>
      <c r="K323" s="9"/>
      <c r="L323" s="9"/>
    </row>
    <row r="324" spans="3:12" x14ac:dyDescent="0.25">
      <c r="C324"/>
      <c r="E324"/>
      <c r="F324"/>
      <c r="G324" s="9"/>
      <c r="H324" s="9"/>
      <c r="I324" s="9"/>
      <c r="J324" s="9"/>
      <c r="K324" s="9"/>
      <c r="L324" s="9"/>
    </row>
    <row r="325" spans="3:12" x14ac:dyDescent="0.25">
      <c r="C325"/>
      <c r="E325"/>
      <c r="F325"/>
      <c r="G325" s="9"/>
      <c r="H325" s="9"/>
      <c r="I325" s="9"/>
      <c r="J325" s="9"/>
      <c r="K325" s="9"/>
      <c r="L325" s="9"/>
    </row>
    <row r="326" spans="3:12" x14ac:dyDescent="0.25">
      <c r="C326"/>
      <c r="E326"/>
      <c r="F326"/>
      <c r="G326" s="9"/>
      <c r="H326" s="9"/>
      <c r="I326" s="9"/>
      <c r="J326" s="9"/>
      <c r="K326" s="9"/>
      <c r="L326" s="9"/>
    </row>
    <row r="327" spans="3:12" x14ac:dyDescent="0.25">
      <c r="C327"/>
      <c r="E327"/>
      <c r="F327"/>
      <c r="G327" s="9"/>
      <c r="H327" s="9"/>
      <c r="I327" s="9"/>
      <c r="J327" s="9"/>
      <c r="K327" s="9"/>
      <c r="L327" s="9"/>
    </row>
    <row r="328" spans="3:12" x14ac:dyDescent="0.25">
      <c r="C328"/>
      <c r="E328"/>
      <c r="F328"/>
      <c r="G328" s="9"/>
      <c r="H328" s="9"/>
      <c r="I328" s="9"/>
      <c r="J328" s="9"/>
      <c r="K328" s="9"/>
      <c r="L328" s="9"/>
    </row>
    <row r="329" spans="3:12" x14ac:dyDescent="0.25">
      <c r="C329"/>
      <c r="E329"/>
      <c r="F329"/>
      <c r="G329" s="9"/>
      <c r="H329" s="9"/>
      <c r="I329" s="9"/>
      <c r="J329" s="9"/>
      <c r="K329" s="9"/>
      <c r="L329" s="9"/>
    </row>
    <row r="330" spans="3:12" x14ac:dyDescent="0.25">
      <c r="C330"/>
      <c r="E330"/>
      <c r="F330"/>
      <c r="G330" s="9"/>
      <c r="H330" s="9"/>
      <c r="I330" s="9"/>
      <c r="J330" s="9"/>
      <c r="K330" s="9"/>
      <c r="L330" s="9"/>
    </row>
    <row r="331" spans="3:12" x14ac:dyDescent="0.25">
      <c r="C331"/>
      <c r="E331"/>
      <c r="F331"/>
      <c r="G331" s="9"/>
      <c r="H331" s="9"/>
      <c r="I331" s="9"/>
      <c r="J331" s="9"/>
      <c r="K331" s="9"/>
      <c r="L331" s="9"/>
    </row>
    <row r="332" spans="3:12" x14ac:dyDescent="0.25">
      <c r="C332"/>
      <c r="E332"/>
      <c r="F332"/>
      <c r="G332" s="9"/>
      <c r="H332" s="9"/>
      <c r="I332" s="9"/>
      <c r="J332" s="9"/>
      <c r="K332" s="9"/>
      <c r="L332" s="9"/>
    </row>
    <row r="333" spans="3:12" x14ac:dyDescent="0.25">
      <c r="C333"/>
      <c r="E333"/>
      <c r="F333"/>
      <c r="G333" s="9"/>
      <c r="H333" s="9"/>
      <c r="I333" s="9"/>
      <c r="J333" s="9"/>
      <c r="K333" s="9"/>
      <c r="L333" s="9"/>
    </row>
    <row r="334" spans="3:12" x14ac:dyDescent="0.25">
      <c r="C334"/>
      <c r="E334"/>
      <c r="F334"/>
      <c r="G334" s="9"/>
      <c r="H334" s="9"/>
      <c r="I334" s="9"/>
      <c r="J334" s="9"/>
      <c r="K334" s="9"/>
      <c r="L334" s="9"/>
    </row>
    <row r="335" spans="3:12" x14ac:dyDescent="0.25">
      <c r="C335"/>
      <c r="E335"/>
      <c r="F335"/>
      <c r="G335" s="9"/>
      <c r="H335" s="9"/>
      <c r="I335" s="9"/>
      <c r="J335" s="9"/>
      <c r="K335" s="9"/>
      <c r="L335" s="9"/>
    </row>
    <row r="336" spans="3:12" x14ac:dyDescent="0.25">
      <c r="C336"/>
      <c r="E336"/>
      <c r="F336"/>
      <c r="G336" s="9"/>
      <c r="H336" s="9"/>
      <c r="I336" s="9"/>
      <c r="J336" s="9"/>
      <c r="K336" s="9"/>
      <c r="L336" s="9"/>
    </row>
    <row r="337" spans="3:12" x14ac:dyDescent="0.25">
      <c r="C337"/>
      <c r="E337"/>
      <c r="F337"/>
      <c r="G337" s="9"/>
      <c r="H337" s="9"/>
      <c r="I337" s="9"/>
      <c r="J337" s="9"/>
      <c r="K337" s="9"/>
      <c r="L337" s="9"/>
    </row>
    <row r="338" spans="3:12" x14ac:dyDescent="0.25">
      <c r="C338"/>
      <c r="E338"/>
      <c r="F338"/>
      <c r="G338" s="9"/>
      <c r="H338" s="9"/>
      <c r="I338" s="9"/>
      <c r="J338" s="9"/>
      <c r="K338" s="9"/>
      <c r="L338" s="9"/>
    </row>
    <row r="339" spans="3:12" x14ac:dyDescent="0.25">
      <c r="C339"/>
      <c r="E339"/>
      <c r="F339"/>
      <c r="G339" s="9"/>
      <c r="H339" s="9"/>
      <c r="I339" s="9"/>
      <c r="J339" s="9"/>
      <c r="K339" s="9"/>
      <c r="L339" s="9"/>
    </row>
    <row r="340" spans="3:12" x14ac:dyDescent="0.25">
      <c r="C340"/>
      <c r="E340"/>
      <c r="F340"/>
      <c r="G340" s="9"/>
      <c r="H340" s="9"/>
      <c r="I340" s="9"/>
      <c r="J340" s="9"/>
      <c r="K340" s="9"/>
      <c r="L340" s="9"/>
    </row>
    <row r="341" spans="3:12" x14ac:dyDescent="0.25">
      <c r="C341"/>
      <c r="E341"/>
      <c r="F341"/>
      <c r="G341" s="9"/>
      <c r="H341" s="9"/>
      <c r="I341" s="9"/>
      <c r="J341" s="9"/>
      <c r="K341" s="9"/>
      <c r="L341" s="9"/>
    </row>
    <row r="342" spans="3:12" x14ac:dyDescent="0.25">
      <c r="C342"/>
      <c r="E342"/>
      <c r="F342"/>
      <c r="G342" s="9"/>
      <c r="H342" s="9"/>
      <c r="I342" s="9"/>
      <c r="J342" s="9"/>
      <c r="K342" s="9"/>
      <c r="L342" s="9"/>
    </row>
    <row r="343" spans="3:12" x14ac:dyDescent="0.25">
      <c r="C343"/>
      <c r="E343"/>
      <c r="F343"/>
      <c r="G343" s="9"/>
      <c r="H343" s="9"/>
      <c r="I343" s="9"/>
      <c r="J343" s="9"/>
      <c r="K343" s="9"/>
      <c r="L343" s="9"/>
    </row>
    <row r="344" spans="3:12" x14ac:dyDescent="0.25">
      <c r="C344"/>
      <c r="E344"/>
      <c r="F344"/>
      <c r="G344" s="9"/>
      <c r="H344" s="9"/>
      <c r="I344" s="9"/>
      <c r="J344" s="9"/>
      <c r="K344" s="9"/>
      <c r="L344" s="9"/>
    </row>
    <row r="345" spans="3:12" x14ac:dyDescent="0.25">
      <c r="C345"/>
      <c r="E345"/>
      <c r="F345"/>
      <c r="G345" s="9"/>
      <c r="H345" s="9"/>
      <c r="I345" s="9"/>
      <c r="J345" s="9"/>
      <c r="K345" s="9"/>
      <c r="L345" s="9"/>
    </row>
    <row r="346" spans="3:12" x14ac:dyDescent="0.25">
      <c r="C346"/>
      <c r="E346"/>
      <c r="F346"/>
      <c r="G346" s="9"/>
      <c r="H346" s="9"/>
      <c r="I346" s="9"/>
      <c r="J346" s="9"/>
      <c r="K346" s="9"/>
      <c r="L346" s="9"/>
    </row>
    <row r="347" spans="3:12" x14ac:dyDescent="0.25">
      <c r="C347"/>
      <c r="E347"/>
      <c r="F347"/>
      <c r="G347" s="9"/>
      <c r="H347" s="9"/>
      <c r="I347" s="9"/>
      <c r="J347" s="9"/>
      <c r="K347" s="9"/>
      <c r="L347" s="9"/>
    </row>
    <row r="348" spans="3:12" x14ac:dyDescent="0.25">
      <c r="C348"/>
      <c r="E348"/>
      <c r="F348"/>
      <c r="G348" s="9"/>
      <c r="H348" s="9"/>
      <c r="I348" s="9"/>
      <c r="J348" s="9"/>
      <c r="K348" s="9"/>
      <c r="L348" s="9"/>
    </row>
    <row r="349" spans="3:12" x14ac:dyDescent="0.25">
      <c r="C349"/>
      <c r="E349"/>
      <c r="F349"/>
      <c r="G349" s="9"/>
      <c r="H349" s="9"/>
      <c r="I349" s="9"/>
      <c r="J349" s="9"/>
      <c r="K349" s="9"/>
      <c r="L349" s="9"/>
    </row>
    <row r="350" spans="3:12" x14ac:dyDescent="0.25">
      <c r="C350"/>
      <c r="E350"/>
      <c r="F350"/>
      <c r="G350" s="9"/>
      <c r="H350" s="9"/>
      <c r="I350" s="9"/>
      <c r="J350" s="9"/>
      <c r="K350" s="9"/>
      <c r="L350" s="9"/>
    </row>
    <row r="351" spans="3:12" x14ac:dyDescent="0.25">
      <c r="C351"/>
      <c r="E351"/>
      <c r="F351"/>
      <c r="G351" s="9"/>
      <c r="H351" s="9"/>
      <c r="I351" s="9"/>
      <c r="J351" s="9"/>
      <c r="K351" s="9"/>
      <c r="L351" s="9"/>
    </row>
    <row r="352" spans="3:12" x14ac:dyDescent="0.25">
      <c r="C352"/>
      <c r="E352"/>
      <c r="F352"/>
      <c r="G352" s="9"/>
      <c r="H352" s="9"/>
      <c r="I352" s="9"/>
      <c r="J352" s="9"/>
      <c r="K352" s="9"/>
      <c r="L352" s="9"/>
    </row>
    <row r="353" spans="3:12" x14ac:dyDescent="0.25">
      <c r="C353"/>
      <c r="E353"/>
      <c r="F353"/>
      <c r="G353" s="9"/>
      <c r="H353" s="9"/>
      <c r="I353" s="9"/>
      <c r="J353" s="9"/>
      <c r="K353" s="9"/>
      <c r="L353" s="9"/>
    </row>
    <row r="354" spans="3:12" x14ac:dyDescent="0.25">
      <c r="C354"/>
      <c r="E354"/>
      <c r="F354"/>
      <c r="G354" s="9"/>
      <c r="H354" s="9"/>
      <c r="I354" s="9"/>
      <c r="J354" s="9"/>
      <c r="K354" s="9"/>
      <c r="L354" s="9"/>
    </row>
    <row r="355" spans="3:12" x14ac:dyDescent="0.25">
      <c r="C355"/>
      <c r="E355"/>
      <c r="F355"/>
      <c r="G355" s="9"/>
      <c r="H355" s="9"/>
      <c r="I355" s="9"/>
      <c r="J355" s="9"/>
      <c r="K355" s="9"/>
      <c r="L355" s="9"/>
    </row>
    <row r="356" spans="3:12" x14ac:dyDescent="0.25">
      <c r="C356"/>
      <c r="E356"/>
      <c r="F356"/>
      <c r="G356" s="9"/>
      <c r="H356" s="9"/>
      <c r="I356" s="9"/>
      <c r="J356" s="9"/>
      <c r="K356" s="9"/>
      <c r="L356" s="9"/>
    </row>
    <row r="357" spans="3:12" x14ac:dyDescent="0.25">
      <c r="C357"/>
      <c r="E357"/>
      <c r="F357"/>
      <c r="G357" s="9"/>
      <c r="H357" s="9"/>
      <c r="I357" s="9"/>
      <c r="J357" s="9"/>
      <c r="K357" s="9"/>
      <c r="L357" s="9"/>
    </row>
    <row r="358" spans="3:12" x14ac:dyDescent="0.25">
      <c r="C358"/>
      <c r="E358"/>
      <c r="F358"/>
      <c r="G358" s="9"/>
      <c r="H358" s="9"/>
      <c r="I358" s="9"/>
      <c r="J358" s="9"/>
      <c r="K358" s="9"/>
      <c r="L358" s="9"/>
    </row>
    <row r="359" spans="3:12" x14ac:dyDescent="0.25">
      <c r="C359"/>
      <c r="E359"/>
      <c r="F359"/>
      <c r="G359" s="9"/>
      <c r="H359" s="9"/>
      <c r="I359" s="9"/>
      <c r="J359" s="9"/>
      <c r="K359" s="9"/>
      <c r="L359" s="9"/>
    </row>
    <row r="360" spans="3:12" x14ac:dyDescent="0.25">
      <c r="C360"/>
      <c r="E360"/>
      <c r="F360"/>
      <c r="G360" s="9"/>
      <c r="H360" s="9"/>
      <c r="I360" s="9"/>
      <c r="J360" s="9"/>
      <c r="K360" s="9"/>
      <c r="L360" s="9"/>
    </row>
    <row r="361" spans="3:12" x14ac:dyDescent="0.25">
      <c r="C361"/>
      <c r="E361"/>
      <c r="F361"/>
      <c r="G361" s="9"/>
      <c r="H361" s="9"/>
      <c r="I361" s="9"/>
      <c r="J361" s="9"/>
      <c r="K361" s="9"/>
      <c r="L361" s="9"/>
    </row>
    <row r="362" spans="3:12" x14ac:dyDescent="0.25">
      <c r="C362"/>
      <c r="E362"/>
      <c r="F362"/>
      <c r="G362" s="9"/>
      <c r="H362" s="9"/>
      <c r="I362" s="9"/>
      <c r="J362" s="9"/>
      <c r="K362" s="9"/>
      <c r="L362" s="9"/>
    </row>
    <row r="363" spans="3:12" x14ac:dyDescent="0.25">
      <c r="C363"/>
      <c r="E363"/>
      <c r="F363"/>
      <c r="G363" s="9"/>
      <c r="H363" s="9"/>
      <c r="I363" s="9"/>
      <c r="J363" s="9"/>
      <c r="K363" s="9"/>
      <c r="L363" s="9"/>
    </row>
    <row r="364" spans="3:12" x14ac:dyDescent="0.25">
      <c r="C364"/>
      <c r="E364"/>
      <c r="F364"/>
      <c r="G364" s="9"/>
      <c r="H364" s="9"/>
      <c r="I364" s="9"/>
      <c r="J364" s="9"/>
      <c r="K364" s="9"/>
      <c r="L364" s="9"/>
    </row>
    <row r="365" spans="3:12" x14ac:dyDescent="0.25">
      <c r="C365"/>
      <c r="E365"/>
      <c r="F365"/>
      <c r="G365" s="9"/>
      <c r="H365" s="9"/>
      <c r="I365" s="9"/>
      <c r="J365" s="9"/>
      <c r="K365" s="9"/>
      <c r="L365" s="9"/>
    </row>
    <row r="366" spans="3:12" x14ac:dyDescent="0.25">
      <c r="C366"/>
      <c r="E366"/>
      <c r="F366"/>
      <c r="G366" s="9"/>
      <c r="H366" s="9"/>
      <c r="I366" s="9"/>
      <c r="J366" s="9"/>
      <c r="K366" s="9"/>
      <c r="L366" s="9"/>
    </row>
    <row r="367" spans="3:12" x14ac:dyDescent="0.25">
      <c r="C367"/>
      <c r="E367"/>
      <c r="F367"/>
      <c r="G367" s="9"/>
      <c r="H367" s="9"/>
      <c r="I367" s="9"/>
      <c r="J367" s="9"/>
      <c r="K367" s="9"/>
      <c r="L367" s="9"/>
    </row>
    <row r="368" spans="3:12" x14ac:dyDescent="0.25">
      <c r="C368"/>
      <c r="E368"/>
      <c r="F368"/>
      <c r="G368" s="9"/>
      <c r="H368" s="9"/>
      <c r="I368" s="9"/>
      <c r="J368" s="9"/>
      <c r="K368" s="9"/>
      <c r="L368" s="9"/>
    </row>
    <row r="369" spans="3:12" x14ac:dyDescent="0.25">
      <c r="C369"/>
      <c r="E369"/>
      <c r="F369"/>
      <c r="G369" s="9"/>
      <c r="H369" s="9"/>
      <c r="I369" s="9"/>
      <c r="J369" s="9"/>
      <c r="K369" s="9"/>
      <c r="L369" s="9"/>
    </row>
    <row r="370" spans="3:12" x14ac:dyDescent="0.25">
      <c r="C370"/>
      <c r="E370"/>
      <c r="F370"/>
      <c r="G370" s="9"/>
      <c r="H370" s="9"/>
      <c r="I370" s="9"/>
      <c r="J370" s="9"/>
      <c r="K370" s="9"/>
      <c r="L370" s="9"/>
    </row>
    <row r="371" spans="3:12" x14ac:dyDescent="0.25">
      <c r="C371"/>
      <c r="E371"/>
      <c r="F371"/>
      <c r="G371" s="9"/>
      <c r="H371" s="9"/>
      <c r="I371" s="9"/>
      <c r="J371" s="9"/>
      <c r="K371" s="9"/>
      <c r="L371" s="9"/>
    </row>
    <row r="372" spans="3:12" x14ac:dyDescent="0.25">
      <c r="C372"/>
      <c r="E372"/>
      <c r="F372"/>
      <c r="G372" s="9"/>
      <c r="H372" s="9"/>
      <c r="I372" s="9"/>
      <c r="J372" s="9"/>
      <c r="K372" s="9"/>
      <c r="L372" s="9"/>
    </row>
    <row r="373" spans="3:12" x14ac:dyDescent="0.25">
      <c r="C373"/>
      <c r="E373"/>
      <c r="F373"/>
      <c r="G373" s="9"/>
      <c r="H373" s="9"/>
      <c r="I373" s="9"/>
      <c r="J373" s="9"/>
      <c r="K373" s="9"/>
      <c r="L373" s="9"/>
    </row>
    <row r="374" spans="3:12" x14ac:dyDescent="0.25">
      <c r="C374"/>
      <c r="E374"/>
      <c r="F374"/>
      <c r="G374" s="9"/>
      <c r="H374" s="9"/>
      <c r="I374" s="9"/>
      <c r="J374" s="9"/>
      <c r="K374" s="9"/>
      <c r="L374" s="9"/>
    </row>
    <row r="375" spans="3:12" x14ac:dyDescent="0.25">
      <c r="C375"/>
      <c r="E375"/>
      <c r="F375"/>
      <c r="G375" s="9"/>
      <c r="H375" s="9"/>
      <c r="I375" s="9"/>
      <c r="J375" s="9"/>
      <c r="K375" s="9"/>
      <c r="L375" s="9"/>
    </row>
    <row r="376" spans="3:12" x14ac:dyDescent="0.25">
      <c r="C376"/>
      <c r="E376"/>
      <c r="F376"/>
      <c r="G376" s="9"/>
      <c r="H376" s="9"/>
      <c r="I376" s="9"/>
      <c r="J376" s="9"/>
      <c r="K376" s="9"/>
      <c r="L376" s="9"/>
    </row>
    <row r="377" spans="3:12" x14ac:dyDescent="0.25">
      <c r="C377"/>
      <c r="E377"/>
      <c r="F377"/>
      <c r="G377" s="9"/>
      <c r="H377" s="9"/>
      <c r="I377" s="9"/>
      <c r="J377" s="9"/>
      <c r="K377" s="9"/>
      <c r="L377" s="9"/>
    </row>
    <row r="378" spans="3:12" x14ac:dyDescent="0.25">
      <c r="C378"/>
      <c r="E378"/>
      <c r="F378"/>
      <c r="G378" s="9"/>
      <c r="H378" s="9"/>
      <c r="I378" s="9"/>
      <c r="J378" s="9"/>
      <c r="K378" s="9"/>
      <c r="L378" s="9"/>
    </row>
    <row r="379" spans="3:12" x14ac:dyDescent="0.25">
      <c r="C379"/>
      <c r="E379"/>
      <c r="F379"/>
      <c r="G379" s="9"/>
      <c r="H379" s="9"/>
      <c r="I379" s="9"/>
      <c r="J379" s="9"/>
      <c r="K379" s="9"/>
      <c r="L379" s="9"/>
    </row>
    <row r="380" spans="3:12" x14ac:dyDescent="0.25">
      <c r="C380"/>
      <c r="E380"/>
      <c r="F380"/>
      <c r="G380" s="9"/>
      <c r="H380" s="9"/>
      <c r="I380" s="9"/>
      <c r="J380" s="9"/>
      <c r="K380" s="9"/>
      <c r="L380" s="9"/>
    </row>
    <row r="381" spans="3:12" x14ac:dyDescent="0.25">
      <c r="C381"/>
      <c r="E381"/>
      <c r="F381"/>
      <c r="G381" s="9"/>
      <c r="H381" s="9"/>
      <c r="I381" s="9"/>
      <c r="J381" s="9"/>
      <c r="K381" s="9"/>
      <c r="L381" s="9"/>
    </row>
    <row r="382" spans="3:12" x14ac:dyDescent="0.25">
      <c r="C382"/>
      <c r="E382"/>
      <c r="F382"/>
      <c r="G382" s="9"/>
      <c r="H382" s="9"/>
      <c r="I382" s="9"/>
      <c r="J382" s="9"/>
      <c r="K382" s="9"/>
      <c r="L382" s="9"/>
    </row>
    <row r="383" spans="3:12" x14ac:dyDescent="0.25">
      <c r="C383"/>
      <c r="E383"/>
      <c r="F383"/>
      <c r="G383" s="9"/>
      <c r="H383" s="9"/>
      <c r="I383" s="9"/>
      <c r="J383" s="9"/>
      <c r="K383" s="9"/>
      <c r="L383" s="9"/>
    </row>
    <row r="384" spans="3:12" x14ac:dyDescent="0.25">
      <c r="C384"/>
      <c r="E384"/>
      <c r="F384"/>
      <c r="G384" s="9"/>
      <c r="H384" s="9"/>
      <c r="I384" s="9"/>
      <c r="J384" s="9"/>
      <c r="K384" s="9"/>
      <c r="L384" s="9"/>
    </row>
    <row r="385" spans="3:12" x14ac:dyDescent="0.25">
      <c r="C385"/>
      <c r="E385"/>
      <c r="F385"/>
      <c r="G385" s="9"/>
      <c r="H385" s="9"/>
      <c r="I385" s="9"/>
      <c r="J385" s="9"/>
      <c r="K385" s="9"/>
      <c r="L385" s="9"/>
    </row>
    <row r="386" spans="3:12" x14ac:dyDescent="0.25">
      <c r="C386"/>
      <c r="E386"/>
      <c r="F386"/>
      <c r="G386" s="9"/>
      <c r="H386" s="9"/>
      <c r="I386" s="9"/>
      <c r="J386" s="9"/>
      <c r="K386" s="9"/>
      <c r="L386" s="9"/>
    </row>
    <row r="387" spans="3:12" x14ac:dyDescent="0.25">
      <c r="C387"/>
      <c r="E387"/>
      <c r="F387"/>
      <c r="G387" s="9"/>
      <c r="H387" s="9"/>
      <c r="I387" s="9"/>
      <c r="J387" s="9"/>
      <c r="K387" s="9"/>
      <c r="L387" s="9"/>
    </row>
    <row r="388" spans="3:12" x14ac:dyDescent="0.25">
      <c r="C388"/>
      <c r="E388"/>
      <c r="F388"/>
      <c r="G388" s="9"/>
      <c r="H388" s="9"/>
      <c r="I388" s="9"/>
      <c r="J388" s="9"/>
      <c r="K388" s="9"/>
      <c r="L388" s="9"/>
    </row>
    <row r="389" spans="3:12" x14ac:dyDescent="0.25">
      <c r="C389"/>
      <c r="E389"/>
      <c r="F389"/>
      <c r="G389" s="9"/>
      <c r="H389" s="9"/>
      <c r="I389" s="9"/>
      <c r="J389" s="9"/>
      <c r="K389" s="9"/>
      <c r="L389" s="9"/>
    </row>
    <row r="390" spans="3:12" x14ac:dyDescent="0.25">
      <c r="C390"/>
      <c r="E390"/>
      <c r="F390"/>
      <c r="G390" s="9"/>
      <c r="H390" s="9"/>
      <c r="I390" s="9"/>
      <c r="J390" s="9"/>
      <c r="K390" s="9"/>
      <c r="L390" s="9"/>
    </row>
    <row r="391" spans="3:12" x14ac:dyDescent="0.25">
      <c r="C391"/>
      <c r="E391"/>
      <c r="F391"/>
      <c r="G391" s="9"/>
      <c r="H391" s="9"/>
      <c r="I391" s="9"/>
      <c r="J391" s="9"/>
      <c r="K391" s="9"/>
      <c r="L391" s="9"/>
    </row>
    <row r="392" spans="3:12" x14ac:dyDescent="0.25">
      <c r="C392"/>
      <c r="E392"/>
      <c r="F392"/>
      <c r="G392" s="9"/>
      <c r="H392" s="9"/>
      <c r="I392" s="9"/>
      <c r="J392" s="9"/>
      <c r="K392" s="9"/>
      <c r="L392" s="9"/>
    </row>
    <row r="393" spans="3:12" x14ac:dyDescent="0.25">
      <c r="C393"/>
      <c r="E393"/>
      <c r="F393"/>
      <c r="G393" s="9"/>
      <c r="H393" s="9"/>
      <c r="I393" s="9"/>
      <c r="J393" s="9"/>
      <c r="K393" s="9"/>
      <c r="L393" s="9"/>
    </row>
    <row r="394" spans="3:12" x14ac:dyDescent="0.25">
      <c r="C394"/>
      <c r="E394"/>
      <c r="F394"/>
      <c r="G394" s="9"/>
      <c r="H394" s="9"/>
      <c r="I394" s="9"/>
      <c r="J394" s="9"/>
      <c r="K394" s="9"/>
      <c r="L394" s="9"/>
    </row>
    <row r="395" spans="3:12" x14ac:dyDescent="0.25">
      <c r="C395"/>
      <c r="E395"/>
      <c r="F395"/>
      <c r="G395" s="9"/>
      <c r="H395" s="9"/>
      <c r="I395" s="9"/>
      <c r="J395" s="9"/>
      <c r="K395" s="9"/>
      <c r="L395" s="9"/>
    </row>
    <row r="396" spans="3:12" x14ac:dyDescent="0.25">
      <c r="C396"/>
      <c r="E396"/>
      <c r="F396"/>
      <c r="G396" s="9"/>
      <c r="H396" s="9"/>
      <c r="I396" s="9"/>
      <c r="J396" s="9"/>
      <c r="K396" s="9"/>
      <c r="L396" s="9"/>
    </row>
    <row r="397" spans="3:12" x14ac:dyDescent="0.25">
      <c r="C397"/>
      <c r="E397"/>
      <c r="F397"/>
      <c r="G397" s="9"/>
      <c r="H397" s="9"/>
      <c r="I397" s="9"/>
      <c r="J397" s="9"/>
      <c r="K397" s="9"/>
      <c r="L397" s="9"/>
    </row>
    <row r="398" spans="3:12" x14ac:dyDescent="0.25">
      <c r="C398"/>
      <c r="E398"/>
      <c r="F398"/>
      <c r="G398" s="9"/>
      <c r="H398" s="9"/>
      <c r="I398" s="9"/>
      <c r="J398" s="9"/>
      <c r="K398" s="9"/>
      <c r="L398" s="9"/>
    </row>
    <row r="399" spans="3:12" x14ac:dyDescent="0.25">
      <c r="C399"/>
      <c r="E399"/>
      <c r="F399"/>
      <c r="G399" s="9"/>
      <c r="H399" s="9"/>
      <c r="I399" s="9"/>
      <c r="J399" s="9"/>
      <c r="K399" s="9"/>
      <c r="L399" s="9"/>
    </row>
    <row r="400" spans="3:12" x14ac:dyDescent="0.25">
      <c r="C400"/>
      <c r="E400"/>
      <c r="F400"/>
      <c r="G400" s="9"/>
      <c r="H400" s="9"/>
      <c r="I400" s="9"/>
      <c r="J400" s="9"/>
      <c r="K400" s="9"/>
      <c r="L400" s="9"/>
    </row>
    <row r="401" spans="3:12" x14ac:dyDescent="0.25">
      <c r="C401"/>
      <c r="E401"/>
      <c r="F401"/>
      <c r="G401" s="9"/>
      <c r="H401" s="9"/>
      <c r="I401" s="9"/>
      <c r="J401" s="9"/>
      <c r="K401" s="9"/>
      <c r="L401" s="9"/>
    </row>
    <row r="402" spans="3:12" x14ac:dyDescent="0.25">
      <c r="C402"/>
      <c r="E402"/>
      <c r="F402"/>
      <c r="G402" s="9"/>
      <c r="H402" s="9"/>
      <c r="I402" s="9"/>
      <c r="J402" s="9"/>
      <c r="K402" s="9"/>
      <c r="L402" s="9"/>
    </row>
    <row r="403" spans="3:12" x14ac:dyDescent="0.25">
      <c r="C403"/>
      <c r="E403"/>
      <c r="F403"/>
      <c r="G403" s="9"/>
      <c r="H403" s="9"/>
      <c r="I403" s="9"/>
      <c r="J403" s="9"/>
      <c r="K403" s="9"/>
      <c r="L403" s="9"/>
    </row>
    <row r="404" spans="3:12" x14ac:dyDescent="0.25">
      <c r="C404"/>
      <c r="E404"/>
      <c r="F404"/>
      <c r="G404" s="9"/>
      <c r="H404" s="9"/>
      <c r="I404" s="9"/>
      <c r="J404" s="9"/>
      <c r="K404" s="9"/>
      <c r="L404" s="9"/>
    </row>
    <row r="405" spans="3:12" x14ac:dyDescent="0.25">
      <c r="C405"/>
      <c r="E405"/>
      <c r="F405"/>
      <c r="G405" s="9"/>
      <c r="H405" s="9"/>
      <c r="I405" s="9"/>
      <c r="J405" s="9"/>
      <c r="K405" s="9"/>
      <c r="L405" s="9"/>
    </row>
    <row r="406" spans="3:12" x14ac:dyDescent="0.25">
      <c r="C406"/>
      <c r="E406"/>
      <c r="F406"/>
      <c r="G406" s="9"/>
      <c r="H406" s="9"/>
      <c r="I406" s="9"/>
      <c r="J406" s="9"/>
      <c r="K406" s="9"/>
      <c r="L406" s="9"/>
    </row>
    <row r="407" spans="3:12" x14ac:dyDescent="0.25">
      <c r="C407"/>
      <c r="E407"/>
      <c r="F407"/>
      <c r="G407" s="9"/>
      <c r="H407" s="9"/>
      <c r="I407" s="9"/>
      <c r="J407" s="9"/>
      <c r="K407" s="9"/>
      <c r="L407" s="9"/>
    </row>
    <row r="408" spans="3:12" x14ac:dyDescent="0.25">
      <c r="C408"/>
      <c r="E408"/>
      <c r="F408"/>
      <c r="G408" s="9"/>
      <c r="H408" s="9"/>
      <c r="I408" s="9"/>
      <c r="J408" s="9"/>
      <c r="K408" s="9"/>
      <c r="L408" s="9"/>
    </row>
    <row r="409" spans="3:12" x14ac:dyDescent="0.25">
      <c r="C409"/>
      <c r="E409"/>
      <c r="F409"/>
      <c r="G409" s="9"/>
      <c r="H409" s="9"/>
      <c r="I409" s="9"/>
      <c r="J409" s="9"/>
      <c r="K409" s="9"/>
      <c r="L409" s="9"/>
    </row>
    <row r="410" spans="3:12" x14ac:dyDescent="0.25">
      <c r="C410"/>
      <c r="E410"/>
      <c r="F410"/>
      <c r="G410" s="9"/>
      <c r="H410" s="9"/>
      <c r="I410" s="9"/>
      <c r="J410" s="9"/>
      <c r="K410" s="9"/>
      <c r="L410" s="9"/>
    </row>
    <row r="411" spans="3:12" x14ac:dyDescent="0.25">
      <c r="C411"/>
      <c r="E411"/>
      <c r="F411"/>
      <c r="G411" s="9"/>
      <c r="H411" s="9"/>
      <c r="I411" s="9"/>
      <c r="J411" s="9"/>
      <c r="K411" s="9"/>
      <c r="L411" s="9"/>
    </row>
    <row r="412" spans="3:12" x14ac:dyDescent="0.25">
      <c r="C412"/>
      <c r="E412"/>
      <c r="F412"/>
      <c r="G412" s="9"/>
      <c r="H412" s="9"/>
      <c r="I412" s="9"/>
      <c r="J412" s="9"/>
      <c r="K412" s="9"/>
      <c r="L412" s="9"/>
    </row>
    <row r="413" spans="3:12" x14ac:dyDescent="0.25">
      <c r="C413"/>
      <c r="E413"/>
      <c r="F413"/>
      <c r="G413" s="9"/>
      <c r="H413" s="9"/>
      <c r="I413" s="9"/>
      <c r="J413" s="9"/>
      <c r="K413" s="9"/>
      <c r="L413" s="9"/>
    </row>
    <row r="414" spans="3:12" x14ac:dyDescent="0.25">
      <c r="C414"/>
      <c r="E414"/>
      <c r="F414"/>
      <c r="G414" s="9"/>
      <c r="H414" s="9"/>
      <c r="I414" s="9"/>
      <c r="J414" s="9"/>
      <c r="K414" s="9"/>
      <c r="L414" s="9"/>
    </row>
    <row r="415" spans="3:12" x14ac:dyDescent="0.25">
      <c r="C415"/>
      <c r="E415"/>
      <c r="F415"/>
      <c r="G415" s="9"/>
      <c r="H415" s="9"/>
      <c r="I415" s="9"/>
      <c r="J415" s="9"/>
      <c r="K415" s="9"/>
      <c r="L415" s="9"/>
    </row>
    <row r="416" spans="3:12" x14ac:dyDescent="0.25">
      <c r="C416"/>
      <c r="E416"/>
      <c r="F416"/>
      <c r="G416" s="9"/>
      <c r="H416" s="9"/>
      <c r="I416" s="9"/>
      <c r="J416" s="9"/>
      <c r="K416" s="9"/>
      <c r="L416" s="9"/>
    </row>
    <row r="417" spans="3:12" x14ac:dyDescent="0.25">
      <c r="C417"/>
      <c r="E417"/>
      <c r="F417"/>
      <c r="G417" s="9"/>
      <c r="H417" s="9"/>
      <c r="I417" s="9"/>
      <c r="J417" s="9"/>
      <c r="K417" s="9"/>
      <c r="L417" s="9"/>
    </row>
    <row r="418" spans="3:12" x14ac:dyDescent="0.25">
      <c r="C418"/>
      <c r="E418"/>
      <c r="F418"/>
      <c r="G418" s="9"/>
      <c r="H418" s="9"/>
      <c r="I418" s="9"/>
      <c r="J418" s="9"/>
      <c r="K418" s="9"/>
      <c r="L418" s="9"/>
    </row>
    <row r="419" spans="3:12" x14ac:dyDescent="0.25">
      <c r="C419"/>
      <c r="E419"/>
      <c r="F419"/>
      <c r="G419" s="9"/>
      <c r="H419" s="9"/>
      <c r="I419" s="9"/>
      <c r="J419" s="9"/>
      <c r="K419" s="9"/>
      <c r="L419" s="9"/>
    </row>
    <row r="420" spans="3:12" x14ac:dyDescent="0.25">
      <c r="C420"/>
      <c r="E420"/>
      <c r="F420"/>
      <c r="G420" s="9"/>
      <c r="H420" s="9"/>
      <c r="I420" s="9"/>
      <c r="J420" s="9"/>
      <c r="K420" s="9"/>
      <c r="L420" s="9"/>
    </row>
    <row r="421" spans="3:12" x14ac:dyDescent="0.25">
      <c r="C421"/>
      <c r="E421"/>
      <c r="F421"/>
      <c r="G421" s="9"/>
      <c r="H421" s="9"/>
      <c r="I421" s="9"/>
      <c r="J421" s="9"/>
      <c r="K421" s="9"/>
      <c r="L421" s="9"/>
    </row>
    <row r="422" spans="3:12" x14ac:dyDescent="0.25">
      <c r="C422"/>
      <c r="E422"/>
      <c r="F422"/>
      <c r="G422" s="9"/>
      <c r="H422" s="9"/>
      <c r="I422" s="9"/>
      <c r="J422" s="9"/>
      <c r="K422" s="9"/>
      <c r="L422" s="9"/>
    </row>
    <row r="423" spans="3:12" x14ac:dyDescent="0.25">
      <c r="C423"/>
      <c r="E423"/>
      <c r="F423"/>
      <c r="G423" s="9"/>
      <c r="H423" s="9"/>
      <c r="I423" s="9"/>
      <c r="J423" s="9"/>
      <c r="K423" s="9"/>
      <c r="L423" s="9"/>
    </row>
    <row r="424" spans="3:12" x14ac:dyDescent="0.25">
      <c r="C424"/>
      <c r="E424"/>
      <c r="F424"/>
      <c r="G424" s="9"/>
      <c r="H424" s="9"/>
      <c r="I424" s="9"/>
      <c r="J424" s="9"/>
      <c r="K424" s="9"/>
      <c r="L424" s="9"/>
    </row>
    <row r="425" spans="3:12" x14ac:dyDescent="0.25">
      <c r="C425"/>
      <c r="E425"/>
      <c r="F425"/>
      <c r="G425" s="9"/>
      <c r="H425" s="9"/>
      <c r="I425" s="9"/>
      <c r="J425" s="9"/>
      <c r="K425" s="9"/>
      <c r="L425" s="9"/>
    </row>
    <row r="426" spans="3:12" x14ac:dyDescent="0.25">
      <c r="C426"/>
      <c r="E426"/>
      <c r="F426"/>
      <c r="G426" s="9"/>
      <c r="H426" s="9"/>
      <c r="I426" s="9"/>
      <c r="J426" s="9"/>
      <c r="K426" s="9"/>
      <c r="L426" s="9"/>
    </row>
    <row r="427" spans="3:12" x14ac:dyDescent="0.25">
      <c r="C427"/>
      <c r="E427"/>
      <c r="F427"/>
      <c r="G427" s="9"/>
      <c r="H427" s="9"/>
      <c r="I427" s="9"/>
      <c r="J427" s="9"/>
      <c r="K427" s="9"/>
      <c r="L427" s="9"/>
    </row>
    <row r="428" spans="3:12" x14ac:dyDescent="0.25">
      <c r="C428"/>
      <c r="E428"/>
      <c r="F428"/>
      <c r="G428" s="9"/>
      <c r="H428" s="9"/>
      <c r="I428" s="9"/>
      <c r="J428" s="9"/>
      <c r="K428" s="9"/>
      <c r="L428" s="9"/>
    </row>
    <row r="429" spans="3:12" x14ac:dyDescent="0.25">
      <c r="C429"/>
      <c r="E429"/>
      <c r="F429"/>
      <c r="G429" s="9"/>
      <c r="H429" s="9"/>
      <c r="I429" s="9"/>
      <c r="J429" s="9"/>
      <c r="K429" s="9"/>
      <c r="L429" s="9"/>
    </row>
    <row r="430" spans="3:12" x14ac:dyDescent="0.25">
      <c r="C430"/>
      <c r="E430"/>
      <c r="F430"/>
      <c r="G430" s="9"/>
      <c r="H430" s="9"/>
      <c r="I430" s="9"/>
      <c r="J430" s="9"/>
      <c r="K430" s="9"/>
      <c r="L430" s="9"/>
    </row>
    <row r="431" spans="3:12" x14ac:dyDescent="0.25">
      <c r="C431"/>
      <c r="E431"/>
      <c r="F431"/>
      <c r="G431" s="9"/>
      <c r="H431" s="9"/>
      <c r="I431" s="9"/>
      <c r="J431" s="9"/>
      <c r="K431" s="9"/>
      <c r="L431" s="9"/>
    </row>
    <row r="432" spans="3:12" x14ac:dyDescent="0.25">
      <c r="C432"/>
      <c r="E432"/>
      <c r="F432"/>
      <c r="G432" s="9"/>
      <c r="H432" s="9"/>
      <c r="I432" s="9"/>
      <c r="J432" s="9"/>
      <c r="K432" s="9"/>
      <c r="L432" s="9"/>
    </row>
    <row r="433" spans="3:12" x14ac:dyDescent="0.25">
      <c r="C433"/>
      <c r="E433"/>
      <c r="F433"/>
      <c r="G433" s="9"/>
      <c r="H433" s="9"/>
      <c r="I433" s="9"/>
      <c r="J433" s="9"/>
      <c r="K433" s="9"/>
      <c r="L433" s="9"/>
    </row>
    <row r="434" spans="3:12" x14ac:dyDescent="0.25">
      <c r="C434"/>
      <c r="E434"/>
      <c r="F434"/>
      <c r="G434" s="9"/>
      <c r="H434" s="9"/>
      <c r="I434" s="9"/>
      <c r="J434" s="9"/>
      <c r="K434" s="9"/>
      <c r="L434" s="9"/>
    </row>
    <row r="435" spans="3:12" x14ac:dyDescent="0.25">
      <c r="C435"/>
      <c r="E435"/>
      <c r="F435"/>
      <c r="G435" s="9"/>
      <c r="H435" s="9"/>
      <c r="I435" s="9"/>
      <c r="J435" s="9"/>
      <c r="K435" s="9"/>
      <c r="L435" s="9"/>
    </row>
    <row r="436" spans="3:12" x14ac:dyDescent="0.25">
      <c r="C436"/>
      <c r="E436"/>
      <c r="F436"/>
      <c r="G436" s="9"/>
      <c r="H436" s="9"/>
      <c r="I436" s="9"/>
      <c r="J436" s="9"/>
      <c r="K436" s="9"/>
      <c r="L436" s="9"/>
    </row>
    <row r="437" spans="3:12" x14ac:dyDescent="0.25">
      <c r="C437"/>
      <c r="E437"/>
      <c r="F437"/>
      <c r="G437" s="9"/>
      <c r="H437" s="9"/>
      <c r="I437" s="9"/>
      <c r="J437" s="9"/>
      <c r="K437" s="9"/>
      <c r="L437" s="9"/>
    </row>
    <row r="438" spans="3:12" x14ac:dyDescent="0.25">
      <c r="C438"/>
      <c r="E438"/>
      <c r="F438"/>
      <c r="G438" s="9"/>
      <c r="H438" s="9"/>
      <c r="I438" s="9"/>
      <c r="J438" s="9"/>
      <c r="K438" s="9"/>
      <c r="L438" s="9"/>
    </row>
    <row r="439" spans="3:12" x14ac:dyDescent="0.25">
      <c r="C439"/>
      <c r="E439"/>
      <c r="F439"/>
      <c r="G439" s="9"/>
      <c r="H439" s="9"/>
      <c r="I439" s="9"/>
      <c r="J439" s="9"/>
      <c r="K439" s="9"/>
      <c r="L439" s="9"/>
    </row>
    <row r="440" spans="3:12" x14ac:dyDescent="0.25">
      <c r="C440"/>
      <c r="E440"/>
      <c r="F440"/>
      <c r="G440" s="9"/>
      <c r="H440" s="9"/>
      <c r="I440" s="9"/>
      <c r="J440" s="9"/>
      <c r="K440" s="9"/>
      <c r="L440" s="9"/>
    </row>
    <row r="441" spans="3:12" x14ac:dyDescent="0.25">
      <c r="C441"/>
      <c r="E441"/>
      <c r="F441"/>
      <c r="G441" s="9"/>
      <c r="H441" s="9"/>
      <c r="I441" s="9"/>
      <c r="J441" s="9"/>
      <c r="K441" s="9"/>
      <c r="L441" s="9"/>
    </row>
    <row r="442" spans="3:12" x14ac:dyDescent="0.25">
      <c r="C442"/>
      <c r="E442"/>
      <c r="F442"/>
      <c r="G442" s="9"/>
      <c r="H442" s="9"/>
      <c r="I442" s="9"/>
      <c r="J442" s="9"/>
      <c r="K442" s="9"/>
      <c r="L442" s="9"/>
    </row>
    <row r="443" spans="3:12" x14ac:dyDescent="0.25">
      <c r="C443"/>
      <c r="E443"/>
      <c r="F443"/>
      <c r="G443" s="9"/>
      <c r="H443" s="9"/>
      <c r="I443" s="9"/>
      <c r="J443" s="9"/>
      <c r="K443" s="9"/>
      <c r="L443" s="9"/>
    </row>
    <row r="444" spans="3:12" x14ac:dyDescent="0.25">
      <c r="C444"/>
      <c r="E444"/>
      <c r="F444"/>
      <c r="G444" s="9"/>
      <c r="H444" s="9"/>
      <c r="I444" s="9"/>
      <c r="J444" s="9"/>
      <c r="K444" s="9"/>
      <c r="L444" s="9"/>
    </row>
    <row r="445" spans="3:12" x14ac:dyDescent="0.25">
      <c r="C445"/>
      <c r="E445"/>
      <c r="F445"/>
      <c r="G445" s="9"/>
      <c r="H445" s="9"/>
      <c r="I445" s="9"/>
      <c r="J445" s="9"/>
      <c r="K445" s="9"/>
      <c r="L445" s="9"/>
    </row>
    <row r="446" spans="3:12" x14ac:dyDescent="0.25">
      <c r="C446"/>
      <c r="E446"/>
      <c r="F446"/>
      <c r="G446" s="9"/>
      <c r="H446" s="9"/>
      <c r="I446" s="9"/>
      <c r="J446" s="9"/>
      <c r="K446" s="9"/>
      <c r="L446" s="9"/>
    </row>
    <row r="447" spans="3:12" x14ac:dyDescent="0.25">
      <c r="C447"/>
      <c r="E447"/>
      <c r="F447"/>
      <c r="G447" s="9"/>
      <c r="H447" s="9"/>
      <c r="I447" s="9"/>
      <c r="J447" s="9"/>
      <c r="K447" s="9"/>
      <c r="L447" s="9"/>
    </row>
    <row r="448" spans="3:12" x14ac:dyDescent="0.25">
      <c r="C448"/>
      <c r="E448"/>
      <c r="F448"/>
      <c r="G448" s="9"/>
      <c r="H448" s="9"/>
      <c r="I448" s="9"/>
      <c r="J448" s="9"/>
      <c r="K448" s="9"/>
      <c r="L448" s="9"/>
    </row>
    <row r="449" spans="3:12" x14ac:dyDescent="0.25">
      <c r="C449"/>
      <c r="E449"/>
      <c r="F449"/>
      <c r="G449" s="9"/>
      <c r="H449" s="9"/>
      <c r="I449" s="9"/>
      <c r="J449" s="9"/>
      <c r="K449" s="9"/>
      <c r="L449" s="9"/>
    </row>
    <row r="450" spans="3:12" x14ac:dyDescent="0.25">
      <c r="C450"/>
      <c r="E450"/>
      <c r="F450"/>
      <c r="G450" s="9"/>
      <c r="H450" s="9"/>
      <c r="I450" s="9"/>
      <c r="J450" s="9"/>
      <c r="K450" s="9"/>
      <c r="L450" s="9"/>
    </row>
    <row r="451" spans="3:12" x14ac:dyDescent="0.25">
      <c r="C451"/>
      <c r="E451"/>
      <c r="F451"/>
      <c r="G451" s="9"/>
      <c r="H451" s="9"/>
      <c r="I451" s="9"/>
      <c r="J451" s="9"/>
      <c r="K451" s="9"/>
      <c r="L451" s="9"/>
    </row>
    <row r="452" spans="3:12" x14ac:dyDescent="0.25">
      <c r="C452"/>
      <c r="E452"/>
      <c r="F452"/>
      <c r="G452" s="9"/>
      <c r="H452" s="9"/>
      <c r="I452" s="9"/>
      <c r="J452" s="9"/>
      <c r="K452" s="9"/>
      <c r="L452" s="9"/>
    </row>
    <row r="453" spans="3:12" x14ac:dyDescent="0.25">
      <c r="C453"/>
      <c r="E453"/>
      <c r="F453"/>
      <c r="G453" s="9"/>
      <c r="H453" s="9"/>
      <c r="I453" s="9"/>
      <c r="J453" s="9"/>
      <c r="K453" s="9"/>
      <c r="L453" s="9"/>
    </row>
    <row r="454" spans="3:12" x14ac:dyDescent="0.25">
      <c r="C454"/>
      <c r="E454"/>
      <c r="F454"/>
      <c r="G454" s="9"/>
      <c r="H454" s="9"/>
      <c r="I454" s="9"/>
      <c r="J454" s="9"/>
      <c r="K454" s="9"/>
      <c r="L454" s="9"/>
    </row>
    <row r="455" spans="3:12" x14ac:dyDescent="0.25">
      <c r="C455"/>
      <c r="E455"/>
      <c r="F455"/>
      <c r="G455" s="9"/>
      <c r="H455" s="9"/>
      <c r="I455" s="9"/>
      <c r="J455" s="9"/>
      <c r="K455" s="9"/>
      <c r="L455" s="9"/>
    </row>
    <row r="456" spans="3:12" x14ac:dyDescent="0.25">
      <c r="C456"/>
      <c r="E456"/>
      <c r="F456"/>
      <c r="G456" s="9"/>
      <c r="H456" s="9"/>
      <c r="I456" s="9"/>
      <c r="J456" s="9"/>
      <c r="K456" s="9"/>
      <c r="L456" s="9"/>
    </row>
    <row r="457" spans="3:12" x14ac:dyDescent="0.25">
      <c r="C457"/>
      <c r="E457"/>
      <c r="F457"/>
      <c r="G457" s="9"/>
      <c r="H457" s="9"/>
      <c r="I457" s="9"/>
      <c r="J457" s="9"/>
      <c r="K457" s="9"/>
      <c r="L457" s="9"/>
    </row>
    <row r="458" spans="3:12" x14ac:dyDescent="0.25">
      <c r="C458"/>
      <c r="E458"/>
      <c r="F458"/>
      <c r="G458" s="9"/>
      <c r="H458" s="9"/>
      <c r="I458" s="9"/>
      <c r="J458" s="9"/>
      <c r="K458" s="9"/>
      <c r="L458" s="9"/>
    </row>
    <row r="459" spans="3:12" x14ac:dyDescent="0.25">
      <c r="C459"/>
      <c r="E459"/>
      <c r="F459"/>
      <c r="G459" s="9"/>
      <c r="H459" s="9"/>
      <c r="I459" s="9"/>
      <c r="J459" s="9"/>
      <c r="K459" s="9"/>
      <c r="L459" s="9"/>
    </row>
    <row r="460" spans="3:12" x14ac:dyDescent="0.25">
      <c r="C460"/>
      <c r="E460"/>
      <c r="F460"/>
      <c r="G460" s="9"/>
      <c r="H460" s="9"/>
      <c r="I460" s="9"/>
      <c r="J460" s="9"/>
      <c r="K460" s="9"/>
      <c r="L460" s="9"/>
    </row>
    <row r="461" spans="3:12" x14ac:dyDescent="0.25">
      <c r="C461"/>
      <c r="E461"/>
      <c r="F461"/>
      <c r="G461" s="9"/>
      <c r="H461" s="9"/>
      <c r="I461" s="9"/>
      <c r="J461" s="9"/>
      <c r="K461" s="9"/>
      <c r="L461" s="9"/>
    </row>
    <row r="462" spans="3:12" x14ac:dyDescent="0.25">
      <c r="C462"/>
      <c r="E462"/>
      <c r="F462"/>
      <c r="G462" s="9"/>
      <c r="H462" s="9"/>
      <c r="I462" s="9"/>
      <c r="J462" s="9"/>
      <c r="K462" s="9"/>
      <c r="L462" s="9"/>
    </row>
    <row r="463" spans="3:12" x14ac:dyDescent="0.25">
      <c r="C463"/>
      <c r="E463"/>
      <c r="F463"/>
      <c r="G463" s="9"/>
      <c r="H463" s="9"/>
      <c r="I463" s="9"/>
      <c r="J463" s="9"/>
      <c r="K463" s="9"/>
      <c r="L463" s="9"/>
    </row>
    <row r="464" spans="3:12" x14ac:dyDescent="0.25">
      <c r="C464"/>
      <c r="E464"/>
      <c r="F464"/>
      <c r="G464" s="9"/>
      <c r="H464" s="9"/>
      <c r="I464" s="9"/>
      <c r="J464" s="9"/>
      <c r="K464" s="9"/>
      <c r="L464" s="9"/>
    </row>
    <row r="465" spans="3:12" x14ac:dyDescent="0.25">
      <c r="C465"/>
      <c r="E465"/>
      <c r="F465"/>
      <c r="G465" s="9"/>
      <c r="H465" s="9"/>
      <c r="I465" s="9"/>
      <c r="J465" s="9"/>
      <c r="K465" s="9"/>
      <c r="L465" s="9"/>
    </row>
    <row r="466" spans="3:12" x14ac:dyDescent="0.25">
      <c r="C466"/>
      <c r="E466"/>
      <c r="F466"/>
      <c r="G466" s="9"/>
      <c r="H466" s="9"/>
      <c r="I466" s="9"/>
      <c r="J466" s="9"/>
      <c r="K466" s="9"/>
      <c r="L466" s="9"/>
    </row>
    <row r="467" spans="3:12" x14ac:dyDescent="0.25">
      <c r="C467"/>
      <c r="E467"/>
      <c r="F467"/>
      <c r="G467" s="9"/>
      <c r="H467" s="9"/>
      <c r="I467" s="9"/>
      <c r="J467" s="9"/>
      <c r="K467" s="9"/>
      <c r="L467" s="9"/>
    </row>
    <row r="468" spans="3:12" x14ac:dyDescent="0.25">
      <c r="C468"/>
      <c r="E468"/>
      <c r="F468"/>
      <c r="G468" s="9"/>
      <c r="H468" s="9"/>
      <c r="I468" s="9"/>
      <c r="J468" s="9"/>
      <c r="K468" s="9"/>
      <c r="L468" s="9"/>
    </row>
    <row r="469" spans="3:12" x14ac:dyDescent="0.25">
      <c r="C469"/>
      <c r="E469"/>
      <c r="F469"/>
      <c r="G469" s="9"/>
      <c r="H469" s="9"/>
      <c r="I469" s="9"/>
      <c r="J469" s="9"/>
      <c r="K469" s="9"/>
      <c r="L469" s="9"/>
    </row>
    <row r="470" spans="3:12" x14ac:dyDescent="0.25">
      <c r="C470"/>
      <c r="E470"/>
      <c r="F470"/>
      <c r="G470" s="9"/>
      <c r="H470" s="9"/>
      <c r="I470" s="9"/>
      <c r="J470" s="9"/>
      <c r="K470" s="9"/>
      <c r="L470" s="9"/>
    </row>
    <row r="471" spans="3:12" x14ac:dyDescent="0.25">
      <c r="C471"/>
      <c r="E471"/>
      <c r="F471"/>
      <c r="G471" s="9"/>
      <c r="H471" s="9"/>
      <c r="I471" s="9"/>
      <c r="J471" s="9"/>
      <c r="K471" s="9"/>
      <c r="L471" s="9"/>
    </row>
    <row r="472" spans="3:12" x14ac:dyDescent="0.25">
      <c r="C472"/>
      <c r="E472"/>
      <c r="F472"/>
      <c r="G472" s="9"/>
      <c r="H472" s="9"/>
      <c r="I472" s="9"/>
      <c r="J472" s="9"/>
      <c r="K472" s="9"/>
      <c r="L472" s="9"/>
    </row>
    <row r="473" spans="3:12" x14ac:dyDescent="0.25">
      <c r="C473"/>
      <c r="E473"/>
      <c r="F473"/>
      <c r="G473" s="9"/>
      <c r="H473" s="9"/>
      <c r="I473" s="9"/>
      <c r="J473" s="9"/>
      <c r="K473" s="9"/>
      <c r="L473" s="9"/>
    </row>
    <row r="474" spans="3:12" x14ac:dyDescent="0.25">
      <c r="C474"/>
      <c r="E474"/>
      <c r="F474"/>
      <c r="G474" s="9"/>
      <c r="H474" s="9"/>
      <c r="I474" s="9"/>
      <c r="J474" s="9"/>
      <c r="K474" s="9"/>
      <c r="L474" s="9"/>
    </row>
    <row r="475" spans="3:12" x14ac:dyDescent="0.25">
      <c r="C475"/>
      <c r="E475"/>
      <c r="F475"/>
      <c r="G475" s="9"/>
      <c r="H475" s="9"/>
      <c r="I475" s="9"/>
      <c r="J475" s="9"/>
      <c r="K475" s="9"/>
      <c r="L475" s="9"/>
    </row>
    <row r="476" spans="3:12" x14ac:dyDescent="0.25">
      <c r="C476"/>
      <c r="E476"/>
      <c r="F476"/>
      <c r="G476" s="9"/>
      <c r="H476" s="9"/>
      <c r="I476" s="9"/>
      <c r="J476" s="9"/>
      <c r="K476" s="9"/>
      <c r="L476" s="9"/>
    </row>
    <row r="477" spans="3:12" x14ac:dyDescent="0.25">
      <c r="C477"/>
      <c r="E477"/>
      <c r="F477"/>
      <c r="G477" s="9"/>
      <c r="H477" s="9"/>
      <c r="I477" s="9"/>
      <c r="J477" s="9"/>
      <c r="K477" s="9"/>
      <c r="L477" s="9"/>
    </row>
    <row r="478" spans="3:12" x14ac:dyDescent="0.25">
      <c r="C478"/>
      <c r="E478"/>
      <c r="F478"/>
      <c r="G478" s="9"/>
      <c r="H478" s="9"/>
      <c r="I478" s="9"/>
      <c r="J478" s="9"/>
      <c r="K478" s="9"/>
      <c r="L478" s="9"/>
    </row>
    <row r="479" spans="3:12" x14ac:dyDescent="0.25">
      <c r="C479"/>
      <c r="E479"/>
      <c r="F479"/>
      <c r="G479" s="9"/>
      <c r="H479" s="9"/>
      <c r="I479" s="9"/>
      <c r="J479" s="9"/>
      <c r="K479" s="9"/>
      <c r="L479" s="9"/>
    </row>
    <row r="480" spans="3:12" x14ac:dyDescent="0.25">
      <c r="C480"/>
      <c r="E480"/>
      <c r="F480"/>
      <c r="G480" s="9"/>
      <c r="H480" s="9"/>
      <c r="I480" s="9"/>
      <c r="J480" s="9"/>
      <c r="K480" s="9"/>
      <c r="L480" s="9"/>
    </row>
    <row r="481" spans="3:12" x14ac:dyDescent="0.25">
      <c r="C481"/>
      <c r="E481"/>
      <c r="F481"/>
      <c r="G481" s="9"/>
      <c r="H481" s="9"/>
      <c r="I481" s="9"/>
      <c r="J481" s="9"/>
      <c r="K481" s="9"/>
      <c r="L481" s="9"/>
    </row>
    <row r="482" spans="3:12" x14ac:dyDescent="0.25">
      <c r="C482"/>
      <c r="E482"/>
      <c r="F482"/>
      <c r="G482" s="9"/>
      <c r="H482" s="9"/>
      <c r="I482" s="9"/>
      <c r="J482" s="9"/>
      <c r="K482" s="9"/>
      <c r="L482" s="9"/>
    </row>
    <row r="483" spans="3:12" x14ac:dyDescent="0.25">
      <c r="C483"/>
      <c r="E483"/>
      <c r="F483"/>
      <c r="G483" s="9"/>
      <c r="H483" s="9"/>
      <c r="I483" s="9"/>
      <c r="J483" s="9"/>
      <c r="K483" s="9"/>
      <c r="L483" s="9"/>
    </row>
    <row r="484" spans="3:12" x14ac:dyDescent="0.25">
      <c r="C484"/>
      <c r="E484"/>
      <c r="F484"/>
      <c r="G484" s="9"/>
      <c r="H484" s="9"/>
      <c r="I484" s="9"/>
      <c r="J484" s="9"/>
      <c r="K484" s="9"/>
      <c r="L484" s="9"/>
    </row>
    <row r="485" spans="3:12" x14ac:dyDescent="0.25">
      <c r="C485"/>
      <c r="E485"/>
      <c r="F485"/>
      <c r="G485" s="9"/>
      <c r="H485" s="9"/>
      <c r="I485" s="9"/>
      <c r="J485" s="9"/>
      <c r="K485" s="9"/>
      <c r="L485" s="9"/>
    </row>
    <row r="486" spans="3:12" x14ac:dyDescent="0.25">
      <c r="C486"/>
      <c r="E486"/>
      <c r="F486"/>
      <c r="G486" s="9"/>
      <c r="H486" s="9"/>
      <c r="I486" s="9"/>
      <c r="J486" s="9"/>
      <c r="K486" s="9"/>
      <c r="L486" s="9"/>
    </row>
    <row r="487" spans="3:12" x14ac:dyDescent="0.25">
      <c r="C487"/>
      <c r="E487"/>
      <c r="F487"/>
      <c r="G487" s="9"/>
      <c r="H487" s="9"/>
      <c r="I487" s="9"/>
      <c r="J487" s="9"/>
      <c r="K487" s="9"/>
      <c r="L487" s="9"/>
    </row>
    <row r="488" spans="3:12" x14ac:dyDescent="0.25">
      <c r="C488"/>
      <c r="E488"/>
      <c r="F488"/>
      <c r="G488" s="9"/>
      <c r="H488" s="9"/>
      <c r="I488" s="9"/>
      <c r="J488" s="9"/>
      <c r="K488" s="9"/>
      <c r="L488" s="9"/>
    </row>
    <row r="489" spans="3:12" x14ac:dyDescent="0.25">
      <c r="C489"/>
      <c r="E489"/>
      <c r="F489"/>
      <c r="G489" s="9"/>
      <c r="H489" s="9"/>
      <c r="I489" s="9"/>
      <c r="J489" s="9"/>
      <c r="K489" s="9"/>
      <c r="L489" s="9"/>
    </row>
    <row r="490" spans="3:12" x14ac:dyDescent="0.25">
      <c r="C490"/>
      <c r="E490"/>
      <c r="F490"/>
      <c r="G490" s="9"/>
      <c r="H490" s="9"/>
      <c r="I490" s="9"/>
      <c r="J490" s="9"/>
      <c r="K490" s="9"/>
      <c r="L490" s="9"/>
    </row>
    <row r="491" spans="3:12" x14ac:dyDescent="0.25">
      <c r="C491"/>
      <c r="E491"/>
      <c r="F491"/>
      <c r="G491" s="9"/>
      <c r="H491" s="9"/>
      <c r="I491" s="9"/>
      <c r="J491" s="9"/>
      <c r="K491" s="9"/>
      <c r="L491" s="9"/>
    </row>
    <row r="492" spans="3:12" x14ac:dyDescent="0.25">
      <c r="C492"/>
      <c r="E492"/>
      <c r="F492"/>
      <c r="G492" s="9"/>
      <c r="H492" s="9"/>
      <c r="I492" s="9"/>
      <c r="J492" s="9"/>
      <c r="K492" s="9"/>
      <c r="L492" s="9"/>
    </row>
    <row r="493" spans="3:12" x14ac:dyDescent="0.25">
      <c r="C493"/>
      <c r="E493"/>
      <c r="F493"/>
      <c r="G493" s="9"/>
      <c r="H493" s="9"/>
      <c r="I493" s="9"/>
      <c r="J493" s="9"/>
      <c r="K493" s="9"/>
      <c r="L493" s="9"/>
    </row>
    <row r="494" spans="3:12" x14ac:dyDescent="0.25">
      <c r="C494"/>
      <c r="E494"/>
      <c r="F494"/>
      <c r="G494" s="9"/>
      <c r="H494" s="9"/>
      <c r="I494" s="9"/>
      <c r="J494" s="9"/>
      <c r="K494" s="9"/>
      <c r="L494" s="9"/>
    </row>
    <row r="495" spans="3:12" x14ac:dyDescent="0.25">
      <c r="C495"/>
      <c r="E495"/>
      <c r="F495"/>
      <c r="G495" s="9"/>
      <c r="H495" s="9"/>
      <c r="I495" s="9"/>
      <c r="J495" s="9"/>
      <c r="K495" s="9"/>
      <c r="L495" s="9"/>
    </row>
    <row r="496" spans="3:12" x14ac:dyDescent="0.25">
      <c r="C496"/>
      <c r="E496"/>
      <c r="F496"/>
      <c r="G496" s="9"/>
      <c r="H496" s="9"/>
      <c r="I496" s="9"/>
      <c r="J496" s="9"/>
      <c r="K496" s="9"/>
      <c r="L496" s="9"/>
    </row>
    <row r="497" spans="3:12" x14ac:dyDescent="0.25">
      <c r="C497"/>
      <c r="E497"/>
      <c r="F497"/>
      <c r="G497" s="9"/>
      <c r="H497" s="9"/>
      <c r="I497" s="9"/>
      <c r="J497" s="9"/>
      <c r="K497" s="9"/>
      <c r="L497" s="9"/>
    </row>
    <row r="498" spans="3:12" x14ac:dyDescent="0.25">
      <c r="C498"/>
      <c r="E498"/>
      <c r="F498"/>
      <c r="G498" s="9"/>
      <c r="H498" s="9"/>
      <c r="I498" s="9"/>
      <c r="J498" s="9"/>
      <c r="K498" s="9"/>
      <c r="L498" s="9"/>
    </row>
    <row r="499" spans="3:12" x14ac:dyDescent="0.25">
      <c r="C499"/>
      <c r="E499"/>
      <c r="F499"/>
      <c r="G499" s="9"/>
      <c r="H499" s="9"/>
      <c r="I499" s="9"/>
      <c r="J499" s="9"/>
      <c r="K499" s="9"/>
      <c r="L499" s="9"/>
    </row>
    <row r="500" spans="3:12" x14ac:dyDescent="0.25">
      <c r="C500"/>
      <c r="E500"/>
      <c r="F500"/>
      <c r="G500" s="9"/>
      <c r="H500" s="9"/>
      <c r="I500" s="9"/>
      <c r="J500" s="9"/>
      <c r="K500" s="9"/>
      <c r="L500" s="9"/>
    </row>
    <row r="501" spans="3:12" x14ac:dyDescent="0.25">
      <c r="C501"/>
      <c r="E501"/>
      <c r="F501"/>
      <c r="G501" s="9"/>
      <c r="H501" s="9"/>
      <c r="I501" s="9"/>
      <c r="J501" s="9"/>
      <c r="K501" s="9"/>
      <c r="L501" s="9"/>
    </row>
    <row r="502" spans="3:12" x14ac:dyDescent="0.25">
      <c r="C502"/>
      <c r="E502"/>
      <c r="F502"/>
      <c r="G502" s="9"/>
      <c r="H502" s="9"/>
      <c r="I502" s="9"/>
      <c r="J502" s="9"/>
      <c r="K502" s="9"/>
      <c r="L502" s="9"/>
    </row>
    <row r="503" spans="3:12" x14ac:dyDescent="0.25">
      <c r="C503"/>
      <c r="E503"/>
      <c r="F503"/>
      <c r="G503" s="9"/>
      <c r="H503" s="9"/>
      <c r="I503" s="9"/>
      <c r="J503" s="9"/>
      <c r="K503" s="9"/>
      <c r="L503" s="9"/>
    </row>
    <row r="504" spans="3:12" x14ac:dyDescent="0.25">
      <c r="C504"/>
      <c r="E504"/>
      <c r="F504"/>
      <c r="G504" s="9"/>
      <c r="H504" s="9"/>
      <c r="I504" s="9"/>
      <c r="J504" s="9"/>
      <c r="K504" s="9"/>
      <c r="L504" s="9"/>
    </row>
    <row r="505" spans="3:12" x14ac:dyDescent="0.25">
      <c r="C505"/>
      <c r="E505"/>
      <c r="F505"/>
      <c r="G505" s="9"/>
      <c r="H505" s="9"/>
      <c r="I505" s="9"/>
      <c r="J505" s="9"/>
      <c r="K505" s="9"/>
      <c r="L505" s="9"/>
    </row>
    <row r="506" spans="3:12" x14ac:dyDescent="0.25">
      <c r="C506"/>
      <c r="E506"/>
      <c r="F506"/>
      <c r="G506" s="9"/>
      <c r="H506" s="9"/>
      <c r="I506" s="9"/>
      <c r="J506" s="9"/>
      <c r="K506" s="9"/>
      <c r="L506" s="9"/>
    </row>
    <row r="507" spans="3:12" x14ac:dyDescent="0.25">
      <c r="C507"/>
      <c r="E507"/>
      <c r="F507"/>
      <c r="G507" s="9"/>
      <c r="H507" s="9"/>
      <c r="I507" s="9"/>
      <c r="J507" s="9"/>
      <c r="K507" s="9"/>
      <c r="L507" s="9"/>
    </row>
    <row r="508" spans="3:12" x14ac:dyDescent="0.25">
      <c r="C508"/>
      <c r="E508"/>
      <c r="F508"/>
      <c r="G508" s="9"/>
      <c r="H508" s="9"/>
      <c r="I508" s="9"/>
      <c r="J508" s="9"/>
      <c r="K508" s="9"/>
      <c r="L508" s="9"/>
    </row>
    <row r="509" spans="3:12" x14ac:dyDescent="0.25">
      <c r="C509"/>
      <c r="E509"/>
      <c r="F509"/>
      <c r="G509" s="9"/>
      <c r="H509" s="9"/>
      <c r="I509" s="9"/>
      <c r="J509" s="9"/>
      <c r="K509" s="9"/>
      <c r="L509" s="9"/>
    </row>
    <row r="510" spans="3:12" x14ac:dyDescent="0.25">
      <c r="C510"/>
      <c r="E510"/>
      <c r="F510"/>
      <c r="G510" s="9"/>
      <c r="H510" s="9"/>
      <c r="I510" s="9"/>
      <c r="J510" s="9"/>
      <c r="K510" s="9"/>
      <c r="L510" s="9"/>
    </row>
    <row r="511" spans="3:12" x14ac:dyDescent="0.25">
      <c r="C511"/>
      <c r="E511"/>
      <c r="F511"/>
      <c r="G511" s="9"/>
      <c r="H511" s="9"/>
      <c r="I511" s="9"/>
      <c r="J511" s="9"/>
      <c r="K511" s="9"/>
      <c r="L511" s="9"/>
    </row>
    <row r="512" spans="3:12" x14ac:dyDescent="0.25">
      <c r="C512"/>
      <c r="E512"/>
      <c r="F512"/>
      <c r="G512" s="9"/>
      <c r="H512" s="9"/>
      <c r="I512" s="9"/>
      <c r="J512" s="9"/>
      <c r="K512" s="9"/>
      <c r="L512" s="9"/>
    </row>
    <row r="513" spans="3:12" x14ac:dyDescent="0.25">
      <c r="C513"/>
      <c r="E513"/>
      <c r="F513"/>
      <c r="G513" s="9"/>
      <c r="H513" s="9"/>
      <c r="I513" s="9"/>
      <c r="J513" s="9"/>
      <c r="K513" s="9"/>
      <c r="L513" s="9"/>
    </row>
    <row r="514" spans="3:12" x14ac:dyDescent="0.25">
      <c r="C514"/>
      <c r="E514"/>
      <c r="F514"/>
      <c r="G514" s="9"/>
      <c r="H514" s="9"/>
      <c r="I514" s="9"/>
      <c r="J514" s="9"/>
      <c r="K514" s="9"/>
      <c r="L514" s="9"/>
    </row>
    <row r="515" spans="3:12" x14ac:dyDescent="0.25">
      <c r="C515"/>
      <c r="E515"/>
      <c r="F515"/>
      <c r="G515" s="9"/>
      <c r="H515" s="9"/>
      <c r="I515" s="9"/>
      <c r="J515" s="9"/>
      <c r="K515" s="9"/>
      <c r="L515" s="9"/>
    </row>
    <row r="516" spans="3:12" x14ac:dyDescent="0.25">
      <c r="C516"/>
      <c r="E516"/>
      <c r="F516"/>
      <c r="G516" s="9"/>
      <c r="H516" s="9"/>
      <c r="I516" s="9"/>
      <c r="J516" s="9"/>
      <c r="K516" s="9"/>
      <c r="L516" s="9"/>
    </row>
    <row r="517" spans="3:12" x14ac:dyDescent="0.25">
      <c r="C517"/>
      <c r="E517"/>
      <c r="F517"/>
      <c r="G517" s="9"/>
      <c r="H517" s="9"/>
      <c r="I517" s="9"/>
      <c r="J517" s="9"/>
      <c r="K517" s="9"/>
      <c r="L517" s="9"/>
    </row>
    <row r="518" spans="3:12" x14ac:dyDescent="0.25">
      <c r="C518"/>
      <c r="E518"/>
      <c r="F518"/>
      <c r="G518" s="9"/>
      <c r="H518" s="9"/>
      <c r="I518" s="9"/>
      <c r="J518" s="9"/>
      <c r="K518" s="9"/>
      <c r="L518" s="9"/>
    </row>
    <row r="519" spans="3:12" x14ac:dyDescent="0.25">
      <c r="C519"/>
      <c r="E519"/>
      <c r="F519"/>
      <c r="G519" s="9"/>
      <c r="H519" s="9"/>
      <c r="I519" s="9"/>
      <c r="J519" s="9"/>
      <c r="K519" s="9"/>
      <c r="L519" s="9"/>
    </row>
    <row r="520" spans="3:12" x14ac:dyDescent="0.25">
      <c r="C520"/>
      <c r="E520"/>
      <c r="F520"/>
      <c r="G520" s="9"/>
      <c r="H520" s="9"/>
      <c r="I520" s="9"/>
      <c r="J520" s="9"/>
      <c r="K520" s="9"/>
      <c r="L520" s="9"/>
    </row>
    <row r="521" spans="3:12" x14ac:dyDescent="0.25">
      <c r="C521"/>
      <c r="E521"/>
      <c r="F521"/>
      <c r="G521" s="9"/>
      <c r="H521" s="9"/>
      <c r="I521" s="9"/>
      <c r="J521" s="9"/>
      <c r="K521" s="9"/>
      <c r="L521" s="9"/>
    </row>
    <row r="522" spans="3:12" x14ac:dyDescent="0.25">
      <c r="C522"/>
      <c r="E522"/>
      <c r="F522"/>
      <c r="G522" s="9"/>
      <c r="H522" s="9"/>
      <c r="I522" s="9"/>
      <c r="J522" s="9"/>
      <c r="K522" s="9"/>
      <c r="L522" s="9"/>
    </row>
    <row r="523" spans="3:12" x14ac:dyDescent="0.25">
      <c r="C523"/>
      <c r="E523"/>
      <c r="F523"/>
      <c r="G523" s="9"/>
      <c r="H523" s="9"/>
      <c r="I523" s="9"/>
      <c r="J523" s="9"/>
      <c r="K523" s="9"/>
      <c r="L523" s="9"/>
    </row>
    <row r="524" spans="3:12" x14ac:dyDescent="0.25">
      <c r="C524"/>
      <c r="E524"/>
      <c r="F524"/>
      <c r="G524" s="9"/>
      <c r="H524" s="9"/>
      <c r="I524" s="9"/>
      <c r="J524" s="9"/>
      <c r="K524" s="9"/>
      <c r="L524" s="9"/>
    </row>
    <row r="525" spans="3:12" x14ac:dyDescent="0.25">
      <c r="C525"/>
      <c r="E525"/>
      <c r="F525"/>
      <c r="G525" s="9"/>
      <c r="H525" s="9"/>
      <c r="I525" s="9"/>
      <c r="J525" s="9"/>
      <c r="K525" s="9"/>
      <c r="L525" s="9"/>
    </row>
    <row r="526" spans="3:12" x14ac:dyDescent="0.25">
      <c r="C526"/>
      <c r="E526"/>
      <c r="F526"/>
      <c r="G526" s="9"/>
      <c r="H526" s="9"/>
      <c r="I526" s="9"/>
      <c r="J526" s="9"/>
      <c r="K526" s="9"/>
      <c r="L526" s="9"/>
    </row>
    <row r="527" spans="3:12" x14ac:dyDescent="0.25">
      <c r="C527"/>
      <c r="E527"/>
      <c r="F527"/>
      <c r="G527" s="9"/>
      <c r="H527" s="9"/>
      <c r="I527" s="9"/>
      <c r="J527" s="9"/>
      <c r="K527" s="9"/>
      <c r="L527" s="9"/>
    </row>
    <row r="528" spans="3:12" x14ac:dyDescent="0.25">
      <c r="C528"/>
      <c r="E528"/>
      <c r="F528"/>
      <c r="G528" s="9"/>
      <c r="H528" s="9"/>
      <c r="I528" s="9"/>
      <c r="J528" s="9"/>
      <c r="K528" s="9"/>
      <c r="L528" s="9"/>
    </row>
    <row r="529" spans="3:12" x14ac:dyDescent="0.25">
      <c r="C529"/>
      <c r="E529"/>
      <c r="F529"/>
      <c r="G529" s="9"/>
      <c r="H529" s="9"/>
      <c r="I529" s="9"/>
      <c r="J529" s="9"/>
      <c r="K529" s="9"/>
      <c r="L529" s="9"/>
    </row>
    <row r="530" spans="3:12" x14ac:dyDescent="0.25">
      <c r="C530"/>
      <c r="E530"/>
      <c r="F530"/>
      <c r="G530" s="9"/>
      <c r="H530" s="9"/>
      <c r="I530" s="9"/>
      <c r="J530" s="9"/>
      <c r="K530" s="9"/>
      <c r="L530" s="9"/>
    </row>
    <row r="531" spans="3:12" x14ac:dyDescent="0.25">
      <c r="C531"/>
      <c r="E531"/>
      <c r="F531"/>
      <c r="G531" s="9"/>
      <c r="H531" s="9"/>
      <c r="I531" s="9"/>
      <c r="J531" s="9"/>
      <c r="K531" s="9"/>
      <c r="L531" s="9"/>
    </row>
    <row r="532" spans="3:12" x14ac:dyDescent="0.25">
      <c r="C532"/>
      <c r="E532"/>
      <c r="F532"/>
      <c r="G532" s="9"/>
      <c r="H532" s="9"/>
      <c r="I532" s="9"/>
      <c r="J532" s="9"/>
      <c r="K532" s="9"/>
      <c r="L532" s="9"/>
    </row>
    <row r="533" spans="3:12" x14ac:dyDescent="0.25">
      <c r="C533"/>
      <c r="E533"/>
      <c r="F533"/>
      <c r="G533" s="9"/>
      <c r="H533" s="9"/>
      <c r="I533" s="9"/>
      <c r="J533" s="9"/>
      <c r="K533" s="9"/>
      <c r="L533" s="9"/>
    </row>
    <row r="534" spans="3:12" x14ac:dyDescent="0.25">
      <c r="C534"/>
      <c r="E534"/>
      <c r="F534"/>
      <c r="G534" s="9"/>
      <c r="H534" s="9"/>
      <c r="I534" s="9"/>
      <c r="J534" s="9"/>
      <c r="K534" s="9"/>
      <c r="L534" s="9"/>
    </row>
    <row r="535" spans="3:12" x14ac:dyDescent="0.25">
      <c r="C535"/>
      <c r="E535"/>
      <c r="F535"/>
      <c r="G535" s="9"/>
      <c r="H535" s="9"/>
      <c r="I535" s="9"/>
      <c r="J535" s="9"/>
      <c r="K535" s="9"/>
      <c r="L535" s="9"/>
    </row>
    <row r="536" spans="3:12" x14ac:dyDescent="0.25">
      <c r="C536"/>
      <c r="E536"/>
      <c r="F536"/>
      <c r="G536" s="9"/>
      <c r="H536" s="9"/>
      <c r="I536" s="9"/>
      <c r="J536" s="9"/>
      <c r="K536" s="9"/>
      <c r="L536" s="9"/>
    </row>
    <row r="537" spans="3:12" x14ac:dyDescent="0.25">
      <c r="C537"/>
      <c r="E537"/>
      <c r="F537"/>
      <c r="G537" s="9"/>
      <c r="H537" s="9"/>
      <c r="I537" s="9"/>
      <c r="J537" s="9"/>
      <c r="K537" s="9"/>
      <c r="L537" s="9"/>
    </row>
    <row r="538" spans="3:12" x14ac:dyDescent="0.25">
      <c r="C538"/>
      <c r="E538"/>
      <c r="F538"/>
      <c r="G538" s="9"/>
      <c r="H538" s="9"/>
      <c r="I538" s="9"/>
      <c r="J538" s="9"/>
      <c r="K538" s="9"/>
      <c r="L538" s="9"/>
    </row>
    <row r="539" spans="3:12" x14ac:dyDescent="0.25">
      <c r="C539"/>
      <c r="E539"/>
      <c r="F539"/>
      <c r="G539" s="9"/>
      <c r="H539" s="9"/>
      <c r="I539" s="9"/>
      <c r="J539" s="9"/>
      <c r="K539" s="9"/>
      <c r="L539" s="9"/>
    </row>
    <row r="540" spans="3:12" x14ac:dyDescent="0.25">
      <c r="C540"/>
      <c r="E540"/>
      <c r="F540"/>
      <c r="G540" s="9"/>
      <c r="H540" s="9"/>
      <c r="I540" s="9"/>
      <c r="J540" s="9"/>
      <c r="K540" s="9"/>
      <c r="L540" s="9"/>
    </row>
    <row r="541" spans="3:12" x14ac:dyDescent="0.25">
      <c r="C541"/>
      <c r="E541"/>
      <c r="F541"/>
      <c r="G541" s="9"/>
      <c r="H541" s="9"/>
      <c r="I541" s="9"/>
      <c r="J541" s="9"/>
      <c r="K541" s="9"/>
      <c r="L541" s="9"/>
    </row>
    <row r="542" spans="3:12" x14ac:dyDescent="0.25">
      <c r="C542"/>
      <c r="E542"/>
      <c r="F542"/>
      <c r="G542" s="9"/>
      <c r="H542" s="9"/>
      <c r="I542" s="9"/>
      <c r="J542" s="9"/>
      <c r="K542" s="9"/>
      <c r="L542" s="9"/>
    </row>
    <row r="543" spans="3:12" x14ac:dyDescent="0.25">
      <c r="C543"/>
      <c r="E543"/>
      <c r="F543"/>
      <c r="G543" s="9"/>
      <c r="H543" s="9"/>
      <c r="I543" s="9"/>
      <c r="J543" s="9"/>
      <c r="K543" s="9"/>
      <c r="L543" s="9"/>
    </row>
    <row r="544" spans="3:12" x14ac:dyDescent="0.25">
      <c r="C544"/>
      <c r="E544"/>
      <c r="F544"/>
      <c r="G544" s="9"/>
      <c r="H544" s="9"/>
      <c r="I544" s="9"/>
      <c r="J544" s="9"/>
      <c r="K544" s="9"/>
      <c r="L544" s="9"/>
    </row>
    <row r="545" spans="3:12" x14ac:dyDescent="0.25">
      <c r="C545"/>
      <c r="E545"/>
      <c r="F545"/>
      <c r="G545" s="9"/>
      <c r="H545" s="9"/>
      <c r="I545" s="9"/>
      <c r="J545" s="9"/>
      <c r="K545" s="9"/>
      <c r="L545" s="9"/>
    </row>
    <row r="546" spans="3:12" x14ac:dyDescent="0.25">
      <c r="C546"/>
      <c r="E546"/>
      <c r="F546"/>
      <c r="G546" s="9"/>
      <c r="H546" s="9"/>
      <c r="I546" s="9"/>
      <c r="J546" s="9"/>
      <c r="K546" s="9"/>
      <c r="L546" s="9"/>
    </row>
    <row r="547" spans="3:12" x14ac:dyDescent="0.25">
      <c r="C547"/>
      <c r="E547"/>
      <c r="F547"/>
      <c r="G547" s="9"/>
      <c r="H547" s="9"/>
      <c r="I547" s="9"/>
      <c r="J547" s="9"/>
      <c r="K547" s="9"/>
      <c r="L547" s="9"/>
    </row>
    <row r="548" spans="3:12" x14ac:dyDescent="0.25">
      <c r="C548"/>
      <c r="E548"/>
      <c r="F548"/>
      <c r="G548" s="9"/>
      <c r="H548" s="9"/>
      <c r="I548" s="9"/>
      <c r="J548" s="9"/>
      <c r="K548" s="9"/>
      <c r="L548" s="9"/>
    </row>
    <row r="549" spans="3:12" x14ac:dyDescent="0.25">
      <c r="C549"/>
      <c r="E549"/>
      <c r="F549"/>
      <c r="G549" s="9"/>
      <c r="H549" s="9"/>
      <c r="I549" s="9"/>
      <c r="J549" s="9"/>
      <c r="K549" s="9"/>
      <c r="L549" s="9"/>
    </row>
    <row r="550" spans="3:12" x14ac:dyDescent="0.25">
      <c r="C550"/>
      <c r="E550"/>
      <c r="F550"/>
      <c r="G550" s="9"/>
      <c r="H550" s="9"/>
      <c r="I550" s="9"/>
      <c r="J550" s="9"/>
      <c r="K550" s="9"/>
      <c r="L550" s="9"/>
    </row>
    <row r="551" spans="3:12" x14ac:dyDescent="0.25">
      <c r="C551"/>
      <c r="E551"/>
      <c r="F551"/>
      <c r="G551" s="9"/>
      <c r="H551" s="9"/>
      <c r="I551" s="9"/>
      <c r="J551" s="9"/>
      <c r="K551" s="9"/>
      <c r="L551" s="9"/>
    </row>
    <row r="552" spans="3:12" x14ac:dyDescent="0.25">
      <c r="C552"/>
      <c r="E552"/>
      <c r="F552"/>
      <c r="G552" s="9"/>
      <c r="H552" s="9"/>
      <c r="I552" s="9"/>
      <c r="J552" s="9"/>
      <c r="K552" s="9"/>
      <c r="L552" s="9"/>
    </row>
    <row r="553" spans="3:12" x14ac:dyDescent="0.25">
      <c r="C553"/>
      <c r="E553"/>
      <c r="F553"/>
      <c r="G553" s="9"/>
      <c r="H553" s="9"/>
      <c r="I553" s="9"/>
      <c r="J553" s="9"/>
      <c r="K553" s="9"/>
      <c r="L553" s="9"/>
    </row>
    <row r="554" spans="3:12" x14ac:dyDescent="0.25">
      <c r="C554"/>
      <c r="E554"/>
      <c r="F554"/>
      <c r="G554" s="9"/>
      <c r="H554" s="9"/>
      <c r="I554" s="9"/>
      <c r="J554" s="9"/>
      <c r="K554" s="9"/>
      <c r="L554" s="9"/>
    </row>
    <row r="555" spans="3:12" x14ac:dyDescent="0.25">
      <c r="C555"/>
      <c r="E555"/>
      <c r="F555"/>
      <c r="G555" s="9"/>
      <c r="H555" s="9"/>
      <c r="I555" s="9"/>
      <c r="J555" s="9"/>
      <c r="K555" s="9"/>
      <c r="L555" s="9"/>
    </row>
    <row r="556" spans="3:12" x14ac:dyDescent="0.25">
      <c r="C556"/>
      <c r="E556"/>
      <c r="F556"/>
      <c r="G556" s="9"/>
      <c r="H556" s="9"/>
      <c r="I556" s="9"/>
      <c r="J556" s="9"/>
      <c r="K556" s="9"/>
      <c r="L556" s="9"/>
    </row>
    <row r="557" spans="3:12" x14ac:dyDescent="0.25">
      <c r="C557"/>
      <c r="E557"/>
      <c r="F557"/>
      <c r="G557" s="9"/>
      <c r="H557" s="9"/>
      <c r="I557" s="9"/>
      <c r="J557" s="9"/>
      <c r="K557" s="9"/>
      <c r="L557" s="9"/>
    </row>
    <row r="558" spans="3:12" x14ac:dyDescent="0.25">
      <c r="C558"/>
      <c r="E558"/>
      <c r="F558"/>
      <c r="G558" s="9"/>
      <c r="H558" s="9"/>
      <c r="I558" s="9"/>
      <c r="J558" s="9"/>
      <c r="K558" s="9"/>
      <c r="L558" s="9"/>
    </row>
    <row r="559" spans="3:12" x14ac:dyDescent="0.25">
      <c r="C559"/>
      <c r="E559"/>
      <c r="F559"/>
      <c r="G559" s="9"/>
      <c r="H559" s="9"/>
      <c r="I559" s="9"/>
      <c r="J559" s="9"/>
      <c r="K559" s="9"/>
      <c r="L559" s="9"/>
    </row>
    <row r="560" spans="3:12" x14ac:dyDescent="0.25">
      <c r="C560"/>
      <c r="E560"/>
      <c r="F560"/>
      <c r="G560" s="9"/>
      <c r="H560" s="9"/>
      <c r="I560" s="9"/>
      <c r="J560" s="9"/>
      <c r="K560" s="9"/>
      <c r="L560" s="9"/>
    </row>
    <row r="561" spans="3:12" x14ac:dyDescent="0.25">
      <c r="C561"/>
      <c r="E561"/>
      <c r="F561"/>
      <c r="G561" s="9"/>
      <c r="H561" s="9"/>
      <c r="I561" s="9"/>
      <c r="J561" s="9"/>
      <c r="K561" s="9"/>
      <c r="L561" s="9"/>
    </row>
    <row r="562" spans="3:12" x14ac:dyDescent="0.25">
      <c r="C562"/>
      <c r="E562"/>
      <c r="F562"/>
      <c r="G562" s="9"/>
      <c r="H562" s="9"/>
      <c r="I562" s="9"/>
      <c r="J562" s="9"/>
      <c r="K562" s="9"/>
      <c r="L562" s="9"/>
    </row>
    <row r="563" spans="3:12" x14ac:dyDescent="0.25">
      <c r="C563"/>
      <c r="E563"/>
      <c r="F563"/>
      <c r="G563" s="9"/>
      <c r="H563" s="9"/>
      <c r="I563" s="9"/>
      <c r="J563" s="9"/>
      <c r="K563" s="9"/>
      <c r="L563" s="9"/>
    </row>
    <row r="564" spans="3:12" x14ac:dyDescent="0.25">
      <c r="C564"/>
      <c r="E564"/>
      <c r="F564"/>
      <c r="G564" s="9"/>
      <c r="H564" s="9"/>
      <c r="I564" s="9"/>
      <c r="J564" s="9"/>
      <c r="K564" s="9"/>
      <c r="L564" s="9"/>
    </row>
    <row r="565" spans="3:12" x14ac:dyDescent="0.25">
      <c r="C565"/>
      <c r="E565"/>
      <c r="F565"/>
      <c r="G565" s="9"/>
      <c r="H565" s="9"/>
      <c r="I565" s="9"/>
      <c r="J565" s="9"/>
      <c r="K565" s="9"/>
      <c r="L565" s="9"/>
    </row>
    <row r="566" spans="3:12" x14ac:dyDescent="0.25">
      <c r="C566"/>
      <c r="E566"/>
      <c r="F566"/>
      <c r="G566" s="9"/>
      <c r="H566" s="9"/>
      <c r="I566" s="9"/>
      <c r="J566" s="9"/>
      <c r="K566" s="9"/>
      <c r="L566" s="9"/>
    </row>
    <row r="567" spans="3:12" x14ac:dyDescent="0.25">
      <c r="C567"/>
      <c r="E567"/>
      <c r="F567"/>
      <c r="G567" s="9"/>
      <c r="H567" s="9"/>
      <c r="I567" s="9"/>
      <c r="J567" s="9"/>
      <c r="K567" s="9"/>
      <c r="L567" s="9"/>
    </row>
    <row r="568" spans="3:12" x14ac:dyDescent="0.25">
      <c r="C568"/>
      <c r="E568"/>
      <c r="F568"/>
      <c r="G568" s="9"/>
      <c r="H568" s="9"/>
      <c r="I568" s="9"/>
      <c r="J568" s="9"/>
      <c r="K568" s="9"/>
      <c r="L568" s="9"/>
    </row>
    <row r="569" spans="3:12" x14ac:dyDescent="0.25">
      <c r="C569"/>
      <c r="E569"/>
      <c r="F569"/>
      <c r="G569" s="9"/>
      <c r="H569" s="9"/>
      <c r="I569" s="9"/>
      <c r="J569" s="9"/>
      <c r="K569" s="9"/>
      <c r="L569" s="9"/>
    </row>
    <row r="570" spans="3:12" x14ac:dyDescent="0.25">
      <c r="C570"/>
      <c r="E570"/>
      <c r="F570"/>
      <c r="G570" s="9"/>
      <c r="H570" s="9"/>
      <c r="I570" s="9"/>
      <c r="J570" s="9"/>
      <c r="K570" s="9"/>
      <c r="L570" s="9"/>
    </row>
    <row r="571" spans="3:12" x14ac:dyDescent="0.25">
      <c r="C571"/>
      <c r="E571"/>
      <c r="F571"/>
      <c r="G571" s="9"/>
      <c r="H571" s="9"/>
      <c r="I571" s="9"/>
      <c r="J571" s="9"/>
      <c r="K571" s="9"/>
      <c r="L571" s="9"/>
    </row>
    <row r="572" spans="3:12" x14ac:dyDescent="0.25">
      <c r="C572"/>
      <c r="E572"/>
      <c r="F572"/>
      <c r="G572" s="9"/>
      <c r="H572" s="9"/>
      <c r="I572" s="9"/>
      <c r="J572" s="9"/>
      <c r="K572" s="9"/>
      <c r="L572" s="9"/>
    </row>
    <row r="573" spans="3:12" x14ac:dyDescent="0.25">
      <c r="C573"/>
      <c r="E573"/>
      <c r="F573"/>
      <c r="G573" s="9"/>
      <c r="H573" s="9"/>
      <c r="I573" s="9"/>
      <c r="J573" s="9"/>
      <c r="K573" s="9"/>
      <c r="L573" s="9"/>
    </row>
    <row r="574" spans="3:12" x14ac:dyDescent="0.25">
      <c r="C574"/>
      <c r="E574"/>
      <c r="F574"/>
      <c r="G574" s="9"/>
      <c r="H574" s="9"/>
      <c r="I574" s="9"/>
      <c r="J574" s="9"/>
      <c r="K574" s="9"/>
      <c r="L574" s="9"/>
    </row>
    <row r="575" spans="3:12" x14ac:dyDescent="0.25">
      <c r="C575"/>
      <c r="E575"/>
      <c r="F575"/>
      <c r="G575" s="9"/>
      <c r="H575" s="9"/>
      <c r="I575" s="9"/>
      <c r="J575" s="9"/>
      <c r="K575" s="9"/>
      <c r="L575" s="9"/>
    </row>
    <row r="576" spans="3:12" x14ac:dyDescent="0.25">
      <c r="C576"/>
      <c r="E576"/>
      <c r="F576"/>
      <c r="G576" s="9"/>
      <c r="H576" s="9"/>
      <c r="I576" s="9"/>
      <c r="J576" s="9"/>
      <c r="K576" s="9"/>
      <c r="L576" s="9"/>
    </row>
    <row r="577" spans="3:12" x14ac:dyDescent="0.25">
      <c r="C577"/>
      <c r="E577"/>
      <c r="F577"/>
      <c r="G577" s="9"/>
      <c r="H577" s="9"/>
      <c r="I577" s="9"/>
      <c r="J577" s="9"/>
      <c r="K577" s="9"/>
      <c r="L577" s="9"/>
    </row>
    <row r="578" spans="3:12" x14ac:dyDescent="0.25">
      <c r="C578"/>
      <c r="E578"/>
      <c r="F578"/>
      <c r="G578" s="9"/>
      <c r="H578" s="9"/>
      <c r="I578" s="9"/>
      <c r="J578" s="9"/>
      <c r="K578" s="9"/>
      <c r="L578" s="9"/>
    </row>
    <row r="579" spans="3:12" x14ac:dyDescent="0.25">
      <c r="C579"/>
      <c r="E579"/>
      <c r="F579"/>
      <c r="G579" s="9"/>
      <c r="H579" s="9"/>
      <c r="I579" s="9"/>
      <c r="J579" s="9"/>
      <c r="K579" s="9"/>
      <c r="L579" s="9"/>
    </row>
    <row r="580" spans="3:12" x14ac:dyDescent="0.25">
      <c r="C580"/>
      <c r="E580"/>
      <c r="F580"/>
      <c r="G580" s="9"/>
      <c r="H580" s="9"/>
      <c r="I580" s="9"/>
      <c r="J580" s="9"/>
      <c r="K580" s="9"/>
      <c r="L580" s="9"/>
    </row>
    <row r="581" spans="3:12" x14ac:dyDescent="0.25">
      <c r="C581"/>
      <c r="E581"/>
      <c r="F581"/>
      <c r="G581" s="9"/>
      <c r="H581" s="9"/>
      <c r="I581" s="9"/>
      <c r="J581" s="9"/>
      <c r="K581" s="9"/>
      <c r="L581" s="9"/>
    </row>
    <row r="582" spans="3:12" x14ac:dyDescent="0.25">
      <c r="C582"/>
      <c r="E582"/>
      <c r="F582"/>
      <c r="G582" s="9"/>
      <c r="H582" s="9"/>
      <c r="I582" s="9"/>
      <c r="J582" s="9"/>
      <c r="K582" s="9"/>
      <c r="L582" s="9"/>
    </row>
    <row r="583" spans="3:12" x14ac:dyDescent="0.25">
      <c r="C583"/>
      <c r="E583"/>
      <c r="F583"/>
      <c r="G583" s="9"/>
      <c r="H583" s="9"/>
      <c r="I583" s="9"/>
      <c r="J583" s="9"/>
      <c r="K583" s="9"/>
      <c r="L583" s="9"/>
    </row>
    <row r="584" spans="3:12" x14ac:dyDescent="0.25">
      <c r="C584"/>
      <c r="E584"/>
      <c r="F584"/>
      <c r="G584" s="9"/>
      <c r="H584" s="9"/>
      <c r="I584" s="9"/>
      <c r="J584" s="9"/>
      <c r="K584" s="9"/>
      <c r="L584" s="9"/>
    </row>
    <row r="585" spans="3:12" x14ac:dyDescent="0.25">
      <c r="C585"/>
      <c r="E585"/>
      <c r="F585"/>
      <c r="G585" s="9"/>
      <c r="H585" s="9"/>
      <c r="I585" s="9"/>
      <c r="J585" s="9"/>
      <c r="K585" s="9"/>
      <c r="L585" s="9"/>
    </row>
    <row r="586" spans="3:12" x14ac:dyDescent="0.25">
      <c r="C586"/>
      <c r="E586"/>
      <c r="F586"/>
      <c r="G586" s="9"/>
      <c r="H586" s="9"/>
      <c r="I586" s="9"/>
      <c r="J586" s="9"/>
      <c r="K586" s="9"/>
      <c r="L586" s="9"/>
    </row>
    <row r="587" spans="3:12" x14ac:dyDescent="0.25">
      <c r="C587"/>
      <c r="E587"/>
      <c r="F587"/>
      <c r="G587" s="9"/>
      <c r="H587" s="9"/>
      <c r="I587" s="9"/>
      <c r="J587" s="9"/>
      <c r="K587" s="9"/>
      <c r="L587" s="9"/>
    </row>
    <row r="588" spans="3:12" x14ac:dyDescent="0.25">
      <c r="C588"/>
      <c r="E588"/>
      <c r="F588"/>
      <c r="G588" s="9"/>
      <c r="H588" s="9"/>
      <c r="I588" s="9"/>
      <c r="J588" s="9"/>
      <c r="K588" s="9"/>
      <c r="L588" s="9"/>
    </row>
    <row r="589" spans="3:12" x14ac:dyDescent="0.25">
      <c r="C589"/>
      <c r="E589"/>
      <c r="F589"/>
      <c r="G589" s="9"/>
      <c r="H589" s="9"/>
      <c r="I589" s="9"/>
      <c r="J589" s="9"/>
      <c r="K589" s="9"/>
      <c r="L589" s="9"/>
    </row>
    <row r="590" spans="3:12" x14ac:dyDescent="0.25">
      <c r="C590"/>
      <c r="E590"/>
      <c r="F590"/>
      <c r="G590" s="9"/>
      <c r="H590" s="9"/>
      <c r="I590" s="9"/>
      <c r="J590" s="9"/>
      <c r="K590" s="9"/>
      <c r="L590" s="9"/>
    </row>
    <row r="591" spans="3:12" x14ac:dyDescent="0.25">
      <c r="C591"/>
      <c r="E591"/>
      <c r="F591"/>
      <c r="G591" s="9"/>
      <c r="H591" s="9"/>
      <c r="I591" s="9"/>
      <c r="J591" s="9"/>
      <c r="K591" s="9"/>
      <c r="L591" s="9"/>
    </row>
    <row r="592" spans="3:12" x14ac:dyDescent="0.25">
      <c r="C592"/>
      <c r="E592"/>
      <c r="F592"/>
      <c r="G592" s="9"/>
      <c r="H592" s="9"/>
      <c r="I592" s="9"/>
      <c r="J592" s="9"/>
      <c r="K592" s="9"/>
      <c r="L592" s="9"/>
    </row>
    <row r="593" spans="3:12" x14ac:dyDescent="0.25">
      <c r="C593"/>
      <c r="E593"/>
      <c r="F593"/>
      <c r="G593" s="9"/>
      <c r="H593" s="9"/>
      <c r="I593" s="9"/>
      <c r="J593" s="9"/>
      <c r="K593" s="9"/>
      <c r="L593" s="9"/>
    </row>
    <row r="594" spans="3:12" x14ac:dyDescent="0.25">
      <c r="C594"/>
      <c r="E594"/>
      <c r="F594"/>
      <c r="G594" s="9"/>
      <c r="H594" s="9"/>
      <c r="I594" s="9"/>
      <c r="J594" s="9"/>
      <c r="K594" s="9"/>
      <c r="L594" s="9"/>
    </row>
    <row r="595" spans="3:12" x14ac:dyDescent="0.25">
      <c r="C595"/>
      <c r="E595"/>
      <c r="F595"/>
      <c r="G595" s="9"/>
      <c r="H595" s="9"/>
      <c r="I595" s="9"/>
      <c r="J595" s="9"/>
      <c r="K595" s="9"/>
      <c r="L595" s="9"/>
    </row>
    <row r="596" spans="3:12" x14ac:dyDescent="0.25">
      <c r="C596"/>
      <c r="E596"/>
      <c r="F596"/>
      <c r="G596" s="9"/>
      <c r="H596" s="9"/>
      <c r="I596" s="9"/>
      <c r="J596" s="9"/>
      <c r="K596" s="9"/>
      <c r="L596" s="9"/>
    </row>
    <row r="597" spans="3:12" x14ac:dyDescent="0.25">
      <c r="C597"/>
      <c r="E597"/>
      <c r="F597"/>
      <c r="G597" s="9"/>
      <c r="H597" s="9"/>
      <c r="I597" s="9"/>
      <c r="J597" s="9"/>
      <c r="K597" s="9"/>
      <c r="L597" s="9"/>
    </row>
    <row r="598" spans="3:12" x14ac:dyDescent="0.25">
      <c r="C598"/>
      <c r="E598"/>
      <c r="F598"/>
      <c r="G598" s="9"/>
      <c r="H598" s="9"/>
      <c r="I598" s="9"/>
      <c r="J598" s="9"/>
      <c r="K598" s="9"/>
      <c r="L598" s="9"/>
    </row>
    <row r="599" spans="3:12" x14ac:dyDescent="0.25">
      <c r="C599"/>
      <c r="E599"/>
      <c r="F599"/>
      <c r="G599" s="9"/>
      <c r="H599" s="9"/>
      <c r="I599" s="9"/>
      <c r="J599" s="9"/>
      <c r="K599" s="9"/>
      <c r="L599" s="9"/>
    </row>
    <row r="600" spans="3:12" x14ac:dyDescent="0.25">
      <c r="C600"/>
      <c r="E600"/>
      <c r="F600"/>
      <c r="G600" s="9"/>
      <c r="H600" s="9"/>
      <c r="I600" s="9"/>
      <c r="J600" s="9"/>
      <c r="K600" s="9"/>
      <c r="L600" s="9"/>
    </row>
    <row r="601" spans="3:12" x14ac:dyDescent="0.25">
      <c r="C601"/>
      <c r="E601"/>
      <c r="F601"/>
      <c r="G601" s="9"/>
      <c r="H601" s="9"/>
      <c r="I601" s="9"/>
      <c r="J601" s="9"/>
      <c r="K601" s="9"/>
      <c r="L601" s="9"/>
    </row>
    <row r="602" spans="3:12" x14ac:dyDescent="0.25">
      <c r="C602"/>
      <c r="E602"/>
      <c r="F602"/>
      <c r="G602" s="9"/>
      <c r="H602" s="9"/>
      <c r="I602" s="9"/>
      <c r="J602" s="9"/>
      <c r="K602" s="9"/>
      <c r="L602" s="9"/>
    </row>
    <row r="603" spans="3:12" x14ac:dyDescent="0.25">
      <c r="C603"/>
      <c r="E603"/>
      <c r="F603"/>
      <c r="G603" s="9"/>
      <c r="H603" s="9"/>
      <c r="I603" s="9"/>
      <c r="J603" s="9"/>
      <c r="K603" s="9"/>
      <c r="L603" s="9"/>
    </row>
    <row r="604" spans="3:12" x14ac:dyDescent="0.25">
      <c r="C604"/>
      <c r="E604"/>
      <c r="F604"/>
      <c r="G604" s="9"/>
      <c r="H604" s="9"/>
      <c r="I604" s="9"/>
      <c r="J604" s="9"/>
      <c r="K604" s="9"/>
      <c r="L604" s="9"/>
    </row>
    <row r="605" spans="3:12" x14ac:dyDescent="0.25">
      <c r="C605"/>
      <c r="E605"/>
      <c r="F605"/>
      <c r="G605" s="9"/>
      <c r="H605" s="9"/>
      <c r="I605" s="9"/>
      <c r="J605" s="9"/>
      <c r="K605" s="9"/>
      <c r="L605" s="9"/>
    </row>
    <row r="606" spans="3:12" x14ac:dyDescent="0.25">
      <c r="C606"/>
      <c r="E606"/>
      <c r="F606"/>
      <c r="G606" s="9"/>
      <c r="H606" s="9"/>
      <c r="I606" s="9"/>
      <c r="J606" s="9"/>
      <c r="K606" s="9"/>
      <c r="L606" s="9"/>
    </row>
    <row r="607" spans="3:12" x14ac:dyDescent="0.25">
      <c r="C607"/>
      <c r="E607"/>
      <c r="F607"/>
      <c r="G607" s="9"/>
      <c r="H607" s="9"/>
      <c r="I607" s="9"/>
      <c r="J607" s="9"/>
      <c r="K607" s="9"/>
      <c r="L607" s="9"/>
    </row>
    <row r="608" spans="3:12" x14ac:dyDescent="0.25">
      <c r="C608"/>
      <c r="E608"/>
      <c r="F608"/>
      <c r="G608" s="9"/>
      <c r="H608" s="9"/>
      <c r="I608" s="9"/>
      <c r="J608" s="9"/>
      <c r="K608" s="9"/>
      <c r="L608" s="9"/>
    </row>
    <row r="609" spans="3:12" x14ac:dyDescent="0.25">
      <c r="C609"/>
      <c r="E609"/>
      <c r="F609"/>
      <c r="G609" s="9"/>
      <c r="H609" s="9"/>
      <c r="I609" s="9"/>
      <c r="J609" s="9"/>
      <c r="K609" s="9"/>
      <c r="L609" s="9"/>
    </row>
    <row r="610" spans="3:12" x14ac:dyDescent="0.25">
      <c r="C610"/>
      <c r="E610"/>
      <c r="F610"/>
      <c r="G610" s="9"/>
      <c r="H610" s="9"/>
      <c r="I610" s="9"/>
      <c r="J610" s="9"/>
      <c r="K610" s="9"/>
      <c r="L610" s="9"/>
    </row>
    <row r="611" spans="3:12" x14ac:dyDescent="0.25">
      <c r="C611"/>
      <c r="E611"/>
      <c r="F611"/>
      <c r="G611" s="9"/>
      <c r="H611" s="9"/>
      <c r="I611" s="9"/>
      <c r="J611" s="9"/>
      <c r="K611" s="9"/>
      <c r="L611" s="9"/>
    </row>
    <row r="612" spans="3:12" x14ac:dyDescent="0.25">
      <c r="C612"/>
      <c r="E612"/>
      <c r="F612"/>
      <c r="G612" s="9"/>
      <c r="H612" s="9"/>
      <c r="I612" s="9"/>
      <c r="J612" s="9"/>
      <c r="K612" s="9"/>
      <c r="L612" s="9"/>
    </row>
    <row r="613" spans="3:12" x14ac:dyDescent="0.25">
      <c r="C613"/>
      <c r="E613"/>
      <c r="F613"/>
      <c r="G613" s="9"/>
      <c r="H613" s="9"/>
      <c r="I613" s="9"/>
      <c r="J613" s="9"/>
      <c r="K613" s="9"/>
      <c r="L613" s="9"/>
    </row>
    <row r="614" spans="3:12" x14ac:dyDescent="0.25">
      <c r="C614"/>
      <c r="E614"/>
      <c r="F614"/>
      <c r="G614" s="9"/>
      <c r="H614" s="9"/>
      <c r="I614" s="9"/>
      <c r="J614" s="9"/>
      <c r="K614" s="9"/>
      <c r="L614" s="9"/>
    </row>
    <row r="615" spans="3:12" x14ac:dyDescent="0.25">
      <c r="C615"/>
      <c r="E615"/>
      <c r="F615"/>
      <c r="G615" s="9"/>
      <c r="H615" s="9"/>
      <c r="I615" s="9"/>
      <c r="J615" s="9"/>
      <c r="K615" s="9"/>
      <c r="L615" s="9"/>
    </row>
    <row r="616" spans="3:12" x14ac:dyDescent="0.25">
      <c r="C616"/>
      <c r="E616"/>
      <c r="F616"/>
      <c r="G616" s="9"/>
      <c r="H616" s="9"/>
      <c r="I616" s="9"/>
      <c r="J616" s="9"/>
      <c r="K616" s="9"/>
      <c r="L616" s="9"/>
    </row>
    <row r="617" spans="3:12" x14ac:dyDescent="0.25">
      <c r="C617"/>
      <c r="E617"/>
      <c r="F617"/>
      <c r="G617" s="9"/>
      <c r="H617" s="9"/>
      <c r="I617" s="9"/>
      <c r="J617" s="9"/>
      <c r="K617" s="9"/>
      <c r="L617" s="9"/>
    </row>
    <row r="618" spans="3:12" x14ac:dyDescent="0.25">
      <c r="C618"/>
      <c r="E618"/>
      <c r="F618"/>
      <c r="G618" s="9"/>
      <c r="H618" s="9"/>
      <c r="I618" s="9"/>
      <c r="J618" s="9"/>
      <c r="K618" s="9"/>
      <c r="L618" s="9"/>
    </row>
    <row r="619" spans="3:12" x14ac:dyDescent="0.25">
      <c r="C619"/>
      <c r="E619"/>
      <c r="F619"/>
      <c r="G619" s="9"/>
      <c r="H619" s="9"/>
      <c r="I619" s="9"/>
      <c r="J619" s="9"/>
      <c r="K619" s="9"/>
      <c r="L619" s="9"/>
    </row>
    <row r="620" spans="3:12" x14ac:dyDescent="0.25">
      <c r="C620"/>
      <c r="E620"/>
      <c r="F620"/>
      <c r="G620" s="9"/>
      <c r="H620" s="9"/>
      <c r="I620" s="9"/>
      <c r="J620" s="9"/>
      <c r="K620" s="9"/>
      <c r="L620" s="9"/>
    </row>
    <row r="621" spans="3:12" x14ac:dyDescent="0.25">
      <c r="C621"/>
      <c r="E621"/>
      <c r="F621"/>
      <c r="G621" s="9"/>
      <c r="H621" s="9"/>
      <c r="I621" s="9"/>
      <c r="J621" s="9"/>
      <c r="K621" s="9"/>
      <c r="L621" s="9"/>
    </row>
    <row r="622" spans="3:12" x14ac:dyDescent="0.25">
      <c r="C622"/>
      <c r="E622"/>
      <c r="F622"/>
      <c r="G622" s="9"/>
      <c r="H622" s="9"/>
      <c r="I622" s="9"/>
      <c r="J622" s="9"/>
      <c r="K622" s="9"/>
      <c r="L622" s="9"/>
    </row>
    <row r="623" spans="3:12" x14ac:dyDescent="0.25">
      <c r="C623"/>
      <c r="E623"/>
      <c r="F623"/>
      <c r="G623" s="9"/>
      <c r="H623" s="9"/>
      <c r="I623" s="9"/>
      <c r="J623" s="9"/>
      <c r="K623" s="9"/>
      <c r="L623" s="9"/>
    </row>
    <row r="624" spans="3:12" x14ac:dyDescent="0.25">
      <c r="C624"/>
      <c r="E624"/>
      <c r="F624"/>
      <c r="G624" s="9"/>
      <c r="H624" s="9"/>
      <c r="I624" s="9"/>
      <c r="J624" s="9"/>
      <c r="K624" s="9"/>
      <c r="L624" s="9"/>
    </row>
    <row r="625" spans="3:12" x14ac:dyDescent="0.25">
      <c r="C625"/>
      <c r="E625"/>
      <c r="F625"/>
      <c r="G625" s="9"/>
      <c r="H625" s="9"/>
      <c r="I625" s="9"/>
      <c r="J625" s="9"/>
      <c r="K625" s="9"/>
      <c r="L625" s="9"/>
    </row>
    <row r="626" spans="3:12" x14ac:dyDescent="0.25">
      <c r="C626"/>
      <c r="E626"/>
      <c r="F626"/>
      <c r="G626" s="9"/>
      <c r="H626" s="9"/>
      <c r="I626" s="9"/>
      <c r="J626" s="9"/>
      <c r="K626" s="9"/>
      <c r="L626" s="9"/>
    </row>
    <row r="627" spans="3:12" x14ac:dyDescent="0.25">
      <c r="C627"/>
      <c r="E627"/>
      <c r="F627"/>
      <c r="G627" s="9"/>
      <c r="H627" s="9"/>
      <c r="I627" s="9"/>
      <c r="J627" s="9"/>
      <c r="K627" s="9"/>
      <c r="L627" s="9"/>
    </row>
    <row r="628" spans="3:12" x14ac:dyDescent="0.25">
      <c r="C628"/>
      <c r="E628"/>
      <c r="F628"/>
      <c r="G628" s="9"/>
      <c r="H628" s="9"/>
      <c r="I628" s="9"/>
      <c r="J628" s="9"/>
      <c r="K628" s="9"/>
      <c r="L628" s="9"/>
    </row>
    <row r="629" spans="3:12" x14ac:dyDescent="0.25">
      <c r="C629"/>
      <c r="E629"/>
      <c r="F629"/>
      <c r="G629" s="9"/>
      <c r="H629" s="9"/>
      <c r="I629" s="9"/>
      <c r="J629" s="9"/>
      <c r="K629" s="9"/>
      <c r="L629" s="9"/>
    </row>
    <row r="630" spans="3:12" x14ac:dyDescent="0.25">
      <c r="C630"/>
      <c r="E630"/>
      <c r="F630"/>
      <c r="G630" s="9"/>
      <c r="H630" s="9"/>
      <c r="I630" s="9"/>
      <c r="J630" s="9"/>
      <c r="K630" s="9"/>
      <c r="L630" s="9"/>
    </row>
    <row r="631" spans="3:12" x14ac:dyDescent="0.25">
      <c r="C631"/>
      <c r="E631"/>
      <c r="F631"/>
      <c r="G631" s="9"/>
      <c r="H631" s="9"/>
      <c r="I631" s="9"/>
      <c r="J631" s="9"/>
      <c r="K631" s="9"/>
      <c r="L631" s="9"/>
    </row>
    <row r="632" spans="3:12" x14ac:dyDescent="0.25">
      <c r="C632"/>
      <c r="E632"/>
      <c r="F632"/>
      <c r="G632" s="9"/>
      <c r="H632" s="9"/>
      <c r="I632" s="9"/>
      <c r="J632" s="9"/>
      <c r="K632" s="9"/>
      <c r="L632" s="9"/>
    </row>
    <row r="633" spans="3:12" x14ac:dyDescent="0.25">
      <c r="C633"/>
      <c r="E633"/>
      <c r="F633"/>
      <c r="G633" s="9"/>
      <c r="H633" s="9"/>
      <c r="I633" s="9"/>
      <c r="J633" s="9"/>
      <c r="K633" s="9"/>
      <c r="L633" s="9"/>
    </row>
    <row r="634" spans="3:12" x14ac:dyDescent="0.25">
      <c r="C634"/>
      <c r="E634"/>
      <c r="F634"/>
      <c r="G634" s="9"/>
      <c r="H634" s="9"/>
      <c r="I634" s="9"/>
      <c r="J634" s="9"/>
      <c r="K634" s="9"/>
      <c r="L634" s="9"/>
    </row>
    <row r="635" spans="3:12" x14ac:dyDescent="0.25">
      <c r="C635"/>
      <c r="E635"/>
      <c r="F635"/>
      <c r="G635" s="9"/>
      <c r="H635" s="9"/>
      <c r="I635" s="9"/>
      <c r="J635" s="9"/>
      <c r="K635" s="9"/>
      <c r="L635" s="9"/>
    </row>
    <row r="636" spans="3:12" x14ac:dyDescent="0.25">
      <c r="C636"/>
      <c r="E636"/>
      <c r="F636"/>
      <c r="G636" s="9"/>
      <c r="H636" s="9"/>
      <c r="I636" s="9"/>
      <c r="J636" s="9"/>
      <c r="K636" s="9"/>
      <c r="L636" s="9"/>
    </row>
    <row r="637" spans="3:12" x14ac:dyDescent="0.25">
      <c r="C637"/>
      <c r="E637"/>
      <c r="F637"/>
      <c r="G637" s="9"/>
      <c r="H637" s="9"/>
      <c r="I637" s="9"/>
      <c r="J637" s="9"/>
      <c r="K637" s="9"/>
      <c r="L637" s="9"/>
    </row>
    <row r="638" spans="3:12" x14ac:dyDescent="0.25">
      <c r="C638"/>
      <c r="E638"/>
      <c r="F638"/>
      <c r="G638" s="9"/>
      <c r="H638" s="9"/>
      <c r="I638" s="9"/>
      <c r="J638" s="9"/>
      <c r="K638" s="9"/>
      <c r="L638" s="9"/>
    </row>
    <row r="639" spans="3:12" x14ac:dyDescent="0.25">
      <c r="C639"/>
      <c r="E639"/>
      <c r="F639"/>
      <c r="G639" s="9"/>
      <c r="H639" s="9"/>
      <c r="I639" s="9"/>
      <c r="J639" s="9"/>
      <c r="K639" s="9"/>
      <c r="L639" s="9"/>
    </row>
    <row r="640" spans="3:12" x14ac:dyDescent="0.25">
      <c r="C640"/>
      <c r="E640"/>
      <c r="F640"/>
      <c r="G640" s="9"/>
      <c r="H640" s="9"/>
      <c r="I640" s="9"/>
      <c r="J640" s="9"/>
      <c r="K640" s="9"/>
      <c r="L640" s="9"/>
    </row>
    <row r="641" spans="3:12" x14ac:dyDescent="0.25">
      <c r="C641"/>
      <c r="E641"/>
      <c r="F641"/>
      <c r="G641" s="9"/>
      <c r="H641" s="9"/>
      <c r="I641" s="9"/>
      <c r="J641" s="9"/>
      <c r="K641" s="9"/>
      <c r="L641" s="9"/>
    </row>
    <row r="642" spans="3:12" x14ac:dyDescent="0.25">
      <c r="C642"/>
      <c r="E642"/>
      <c r="F642"/>
      <c r="G642" s="9"/>
      <c r="H642" s="9"/>
      <c r="I642" s="9"/>
      <c r="J642" s="9"/>
      <c r="K642" s="9"/>
      <c r="L642" s="9"/>
    </row>
    <row r="643" spans="3:12" x14ac:dyDescent="0.25">
      <c r="C643"/>
      <c r="E643"/>
      <c r="F643"/>
      <c r="G643" s="9"/>
      <c r="H643" s="9"/>
      <c r="I643" s="9"/>
      <c r="J643" s="9"/>
      <c r="K643" s="9"/>
      <c r="L643" s="9"/>
    </row>
    <row r="644" spans="3:12" x14ac:dyDescent="0.25">
      <c r="C644"/>
      <c r="E644"/>
      <c r="F644"/>
      <c r="G644" s="9"/>
      <c r="H644" s="9"/>
      <c r="I644" s="9"/>
      <c r="J644" s="9"/>
      <c r="K644" s="9"/>
      <c r="L644" s="9"/>
    </row>
    <row r="645" spans="3:12" x14ac:dyDescent="0.25">
      <c r="C645"/>
      <c r="E645"/>
      <c r="F645"/>
      <c r="G645" s="9"/>
      <c r="H645" s="9"/>
      <c r="I645" s="9"/>
      <c r="J645" s="9"/>
      <c r="K645" s="9"/>
      <c r="L645" s="9"/>
    </row>
    <row r="646" spans="3:12" x14ac:dyDescent="0.25">
      <c r="C646"/>
      <c r="E646"/>
      <c r="F646"/>
      <c r="G646" s="9"/>
      <c r="H646" s="9"/>
      <c r="I646" s="9"/>
      <c r="J646" s="9"/>
      <c r="K646" s="9"/>
      <c r="L646" s="9"/>
    </row>
    <row r="647" spans="3:12" x14ac:dyDescent="0.25">
      <c r="C647"/>
      <c r="E647"/>
      <c r="F647"/>
      <c r="G647" s="9"/>
      <c r="H647" s="9"/>
      <c r="I647" s="9"/>
      <c r="J647" s="9"/>
      <c r="K647" s="9"/>
      <c r="L647" s="9"/>
    </row>
    <row r="648" spans="3:12" x14ac:dyDescent="0.25">
      <c r="C648"/>
      <c r="E648"/>
      <c r="F648"/>
      <c r="G648" s="9"/>
      <c r="H648" s="9"/>
      <c r="I648" s="9"/>
      <c r="J648" s="9"/>
      <c r="K648" s="9"/>
      <c r="L648" s="9"/>
    </row>
    <row r="649" spans="3:12" x14ac:dyDescent="0.25">
      <c r="C649"/>
      <c r="E649"/>
      <c r="F649"/>
      <c r="G649" s="9"/>
      <c r="H649" s="9"/>
      <c r="I649" s="9"/>
      <c r="J649" s="9"/>
      <c r="K649" s="9"/>
      <c r="L649" s="9"/>
    </row>
    <row r="650" spans="3:12" x14ac:dyDescent="0.25">
      <c r="C650"/>
      <c r="E650"/>
      <c r="F650"/>
      <c r="G650" s="9"/>
      <c r="H650" s="9"/>
      <c r="I650" s="9"/>
      <c r="J650" s="9"/>
      <c r="K650" s="9"/>
      <c r="L650" s="9"/>
    </row>
    <row r="651" spans="3:12" x14ac:dyDescent="0.25">
      <c r="C651"/>
      <c r="E651"/>
      <c r="F651"/>
      <c r="G651" s="9"/>
      <c r="H651" s="9"/>
      <c r="I651" s="9"/>
      <c r="J651" s="9"/>
      <c r="K651" s="9"/>
      <c r="L651" s="9"/>
    </row>
    <row r="652" spans="3:12" x14ac:dyDescent="0.25">
      <c r="C652"/>
      <c r="E652"/>
      <c r="F652"/>
      <c r="G652" s="9"/>
      <c r="H652" s="9"/>
      <c r="I652" s="9"/>
      <c r="J652" s="9"/>
      <c r="K652" s="9"/>
      <c r="L652" s="9"/>
    </row>
    <row r="653" spans="3:12" x14ac:dyDescent="0.25">
      <c r="C653"/>
      <c r="E653"/>
      <c r="F653"/>
      <c r="G653" s="9"/>
      <c r="H653" s="9"/>
      <c r="I653" s="9"/>
      <c r="J653" s="9"/>
      <c r="K653" s="9"/>
      <c r="L653" s="9"/>
    </row>
    <row r="654" spans="3:12" x14ac:dyDescent="0.25">
      <c r="C654"/>
      <c r="E654"/>
      <c r="F654"/>
      <c r="G654" s="9"/>
      <c r="H654" s="9"/>
      <c r="I654" s="9"/>
      <c r="J654" s="9"/>
      <c r="K654" s="9"/>
      <c r="L654" s="9"/>
    </row>
    <row r="655" spans="3:12" x14ac:dyDescent="0.25">
      <c r="C655"/>
      <c r="E655"/>
      <c r="F655"/>
      <c r="G655" s="9"/>
      <c r="H655" s="9"/>
      <c r="I655" s="9"/>
      <c r="J655" s="9"/>
      <c r="K655" s="9"/>
      <c r="L655" s="9"/>
    </row>
    <row r="656" spans="3:12" x14ac:dyDescent="0.25">
      <c r="C656"/>
      <c r="E656"/>
      <c r="F656"/>
      <c r="G656" s="9"/>
      <c r="H656" s="9"/>
      <c r="I656" s="9"/>
      <c r="J656" s="9"/>
      <c r="K656" s="9"/>
      <c r="L656" s="9"/>
    </row>
    <row r="657" spans="3:12" x14ac:dyDescent="0.25">
      <c r="C657"/>
      <c r="E657"/>
      <c r="F657"/>
      <c r="G657" s="9"/>
      <c r="H657" s="9"/>
      <c r="I657" s="9"/>
      <c r="J657" s="9"/>
      <c r="K657" s="9"/>
      <c r="L657" s="9"/>
    </row>
    <row r="658" spans="3:12" x14ac:dyDescent="0.25">
      <c r="C658"/>
      <c r="E658"/>
      <c r="F658"/>
      <c r="G658" s="9"/>
      <c r="H658" s="9"/>
      <c r="I658" s="9"/>
      <c r="J658" s="9"/>
      <c r="K658" s="9"/>
      <c r="L658" s="9"/>
    </row>
    <row r="659" spans="3:12" x14ac:dyDescent="0.25">
      <c r="C659"/>
      <c r="E659"/>
      <c r="F659"/>
      <c r="G659" s="9"/>
      <c r="H659" s="9"/>
      <c r="I659" s="9"/>
      <c r="J659" s="9"/>
      <c r="K659" s="9"/>
      <c r="L659" s="9"/>
    </row>
    <row r="660" spans="3:12" x14ac:dyDescent="0.25">
      <c r="C660"/>
      <c r="E660"/>
      <c r="F660"/>
      <c r="G660" s="9"/>
      <c r="H660" s="9"/>
      <c r="I660" s="9"/>
      <c r="J660" s="9"/>
      <c r="K660" s="9"/>
      <c r="L660" s="9"/>
    </row>
    <row r="661" spans="3:12" x14ac:dyDescent="0.25">
      <c r="C661"/>
      <c r="E661"/>
      <c r="F661"/>
      <c r="G661" s="9"/>
      <c r="H661" s="9"/>
      <c r="I661" s="9"/>
      <c r="J661" s="9"/>
      <c r="K661" s="9"/>
      <c r="L661" s="9"/>
    </row>
    <row r="662" spans="3:12" x14ac:dyDescent="0.25">
      <c r="C662"/>
      <c r="E662"/>
      <c r="F662"/>
      <c r="G662" s="9"/>
      <c r="H662" s="9"/>
      <c r="I662" s="9"/>
      <c r="J662" s="9"/>
      <c r="K662" s="9"/>
      <c r="L662" s="9"/>
    </row>
    <row r="663" spans="3:12" x14ac:dyDescent="0.25">
      <c r="C663"/>
      <c r="E663"/>
      <c r="F663"/>
      <c r="G663" s="9"/>
      <c r="H663" s="9"/>
      <c r="I663" s="9"/>
      <c r="J663" s="9"/>
      <c r="K663" s="9"/>
      <c r="L663" s="9"/>
    </row>
    <row r="664" spans="3:12" x14ac:dyDescent="0.25">
      <c r="C664"/>
      <c r="E664"/>
      <c r="F664"/>
      <c r="G664" s="9"/>
      <c r="H664" s="9"/>
      <c r="I664" s="9"/>
      <c r="J664" s="9"/>
      <c r="K664" s="9"/>
      <c r="L664" s="9"/>
    </row>
    <row r="665" spans="3:12" x14ac:dyDescent="0.25">
      <c r="C665"/>
      <c r="E665"/>
      <c r="F665"/>
      <c r="G665" s="9"/>
      <c r="H665" s="9"/>
      <c r="I665" s="9"/>
      <c r="J665" s="9"/>
      <c r="K665" s="9"/>
      <c r="L665" s="9"/>
    </row>
    <row r="666" spans="3:12" x14ac:dyDescent="0.25">
      <c r="C666"/>
      <c r="E666"/>
      <c r="F666"/>
      <c r="G666" s="9"/>
      <c r="H666" s="9"/>
      <c r="I666" s="9"/>
      <c r="J666" s="9"/>
      <c r="K666" s="9"/>
      <c r="L666" s="9"/>
    </row>
    <row r="667" spans="3:12" x14ac:dyDescent="0.25">
      <c r="C667"/>
      <c r="E667"/>
      <c r="F667"/>
      <c r="G667" s="9"/>
      <c r="H667" s="9"/>
      <c r="I667" s="9"/>
      <c r="J667" s="9"/>
      <c r="K667" s="9"/>
      <c r="L667" s="9"/>
    </row>
    <row r="668" spans="3:12" x14ac:dyDescent="0.25">
      <c r="C668"/>
      <c r="E668"/>
      <c r="F668"/>
      <c r="G668" s="9"/>
      <c r="H668" s="9"/>
      <c r="I668" s="9"/>
      <c r="J668" s="9"/>
      <c r="K668" s="9"/>
      <c r="L668" s="9"/>
    </row>
    <row r="669" spans="3:12" x14ac:dyDescent="0.25">
      <c r="C669"/>
      <c r="E669"/>
      <c r="F669"/>
      <c r="G669" s="9"/>
      <c r="H669" s="9"/>
      <c r="I669" s="9"/>
      <c r="J669" s="9"/>
      <c r="K669" s="9"/>
      <c r="L669" s="9"/>
    </row>
    <row r="670" spans="3:12" x14ac:dyDescent="0.25">
      <c r="C670"/>
      <c r="E670"/>
      <c r="F670"/>
      <c r="G670" s="9"/>
      <c r="H670" s="9"/>
      <c r="I670" s="9"/>
      <c r="J670" s="9"/>
      <c r="K670" s="9"/>
      <c r="L670" s="9"/>
    </row>
    <row r="671" spans="3:12" x14ac:dyDescent="0.25">
      <c r="C671"/>
      <c r="E671"/>
      <c r="F671"/>
      <c r="G671" s="9"/>
      <c r="H671" s="9"/>
      <c r="I671" s="9"/>
      <c r="J671" s="9"/>
      <c r="K671" s="9"/>
      <c r="L671" s="9"/>
    </row>
    <row r="672" spans="3:12" x14ac:dyDescent="0.25">
      <c r="C672"/>
      <c r="E672"/>
      <c r="F672"/>
      <c r="G672" s="9"/>
      <c r="H672" s="9"/>
      <c r="I672" s="9"/>
      <c r="J672" s="9"/>
      <c r="K672" s="9"/>
      <c r="L672" s="9"/>
    </row>
    <row r="673" spans="3:12" x14ac:dyDescent="0.25">
      <c r="C673"/>
      <c r="E673"/>
      <c r="F673"/>
      <c r="G673" s="9"/>
      <c r="H673" s="9"/>
      <c r="I673" s="9"/>
      <c r="J673" s="9"/>
      <c r="K673" s="9"/>
      <c r="L673" s="9"/>
    </row>
    <row r="674" spans="3:12" x14ac:dyDescent="0.25">
      <c r="C674"/>
      <c r="E674"/>
      <c r="F674"/>
      <c r="G674" s="9"/>
      <c r="H674" s="9"/>
      <c r="I674" s="9"/>
      <c r="J674" s="9"/>
      <c r="K674" s="9"/>
      <c r="L674" s="9"/>
    </row>
    <row r="675" spans="3:12" x14ac:dyDescent="0.25">
      <c r="C675"/>
      <c r="E675"/>
      <c r="F675"/>
      <c r="G675" s="9"/>
      <c r="H675" s="9"/>
      <c r="I675" s="9"/>
      <c r="J675" s="9"/>
      <c r="K675" s="9"/>
      <c r="L675" s="9"/>
    </row>
    <row r="676" spans="3:12" x14ac:dyDescent="0.25">
      <c r="C676"/>
      <c r="E676"/>
      <c r="F676"/>
      <c r="G676" s="9"/>
      <c r="H676" s="9"/>
      <c r="I676" s="9"/>
      <c r="J676" s="9"/>
      <c r="K676" s="9"/>
      <c r="L676" s="9"/>
    </row>
    <row r="677" spans="3:12" x14ac:dyDescent="0.25">
      <c r="C677"/>
      <c r="E677"/>
      <c r="F677"/>
      <c r="G677" s="9"/>
      <c r="H677" s="9"/>
      <c r="I677" s="9"/>
      <c r="J677" s="9"/>
      <c r="K677" s="9"/>
      <c r="L677" s="9"/>
    </row>
    <row r="678" spans="3:12" x14ac:dyDescent="0.25">
      <c r="C678"/>
      <c r="E678"/>
      <c r="F678"/>
      <c r="G678" s="9"/>
      <c r="H678" s="9"/>
      <c r="I678" s="9"/>
      <c r="J678" s="9"/>
      <c r="K678" s="9"/>
      <c r="L678" s="9"/>
    </row>
    <row r="679" spans="3:12" x14ac:dyDescent="0.25">
      <c r="C679"/>
      <c r="E679"/>
      <c r="F679"/>
      <c r="G679" s="9"/>
      <c r="H679" s="9"/>
      <c r="I679" s="9"/>
      <c r="J679" s="9"/>
      <c r="K679" s="9"/>
      <c r="L679" s="9"/>
    </row>
    <row r="680" spans="3:12" x14ac:dyDescent="0.25">
      <c r="C680"/>
      <c r="E680"/>
      <c r="F680"/>
      <c r="G680" s="9"/>
      <c r="H680" s="9"/>
      <c r="I680" s="9"/>
      <c r="J680" s="9"/>
      <c r="K680" s="9"/>
      <c r="L680" s="9"/>
    </row>
    <row r="681" spans="3:12" x14ac:dyDescent="0.25">
      <c r="C681"/>
      <c r="E681"/>
      <c r="F681"/>
      <c r="G681" s="9"/>
      <c r="H681" s="9"/>
      <c r="I681" s="9"/>
      <c r="J681" s="9"/>
      <c r="K681" s="9"/>
      <c r="L681" s="9"/>
    </row>
    <row r="682" spans="3:12" x14ac:dyDescent="0.25">
      <c r="C682"/>
      <c r="E682"/>
      <c r="F682"/>
      <c r="G682" s="9"/>
      <c r="H682" s="9"/>
      <c r="I682" s="9"/>
      <c r="J682" s="9"/>
      <c r="K682" s="9"/>
      <c r="L682" s="9"/>
    </row>
    <row r="683" spans="3:12" x14ac:dyDescent="0.25">
      <c r="C683"/>
      <c r="E683"/>
      <c r="F683"/>
      <c r="G683" s="9"/>
      <c r="H683" s="9"/>
      <c r="I683" s="9"/>
      <c r="J683" s="9"/>
      <c r="K683" s="9"/>
      <c r="L683" s="9"/>
    </row>
    <row r="684" spans="3:12" x14ac:dyDescent="0.25">
      <c r="C684"/>
      <c r="E684"/>
      <c r="F684"/>
      <c r="G684" s="9"/>
      <c r="H684" s="9"/>
      <c r="I684" s="9"/>
      <c r="J684" s="9"/>
      <c r="K684" s="9"/>
      <c r="L684" s="9"/>
    </row>
    <row r="685" spans="3:12" x14ac:dyDescent="0.25">
      <c r="C685"/>
      <c r="E685"/>
      <c r="F685"/>
      <c r="G685" s="9"/>
      <c r="H685" s="9"/>
      <c r="I685" s="9"/>
      <c r="J685" s="9"/>
      <c r="K685" s="9"/>
      <c r="L685" s="9"/>
    </row>
    <row r="686" spans="3:12" x14ac:dyDescent="0.25">
      <c r="C686"/>
      <c r="E686"/>
      <c r="F686"/>
      <c r="G686" s="9"/>
      <c r="H686" s="9"/>
      <c r="I686" s="9"/>
      <c r="J686" s="9"/>
      <c r="K686" s="9"/>
      <c r="L686" s="9"/>
    </row>
    <row r="687" spans="3:12" x14ac:dyDescent="0.25">
      <c r="C687"/>
      <c r="E687"/>
      <c r="F687"/>
      <c r="G687" s="9"/>
      <c r="H687" s="9"/>
      <c r="I687" s="9"/>
      <c r="J687" s="9"/>
      <c r="K687" s="9"/>
      <c r="L687" s="9"/>
    </row>
    <row r="688" spans="3:12" x14ac:dyDescent="0.25">
      <c r="C688"/>
      <c r="E688"/>
      <c r="F688"/>
      <c r="G688" s="9"/>
      <c r="H688" s="9"/>
      <c r="I688" s="9"/>
      <c r="J688" s="9"/>
      <c r="K688" s="9"/>
      <c r="L688" s="9"/>
    </row>
    <row r="689" spans="3:12" x14ac:dyDescent="0.25">
      <c r="C689"/>
      <c r="E689"/>
      <c r="F689"/>
      <c r="G689" s="9"/>
      <c r="H689" s="9"/>
      <c r="I689" s="9"/>
      <c r="J689" s="9"/>
      <c r="K689" s="9"/>
      <c r="L689" s="9"/>
    </row>
    <row r="690" spans="3:12" x14ac:dyDescent="0.25">
      <c r="C690"/>
      <c r="E690"/>
      <c r="F690"/>
      <c r="G690" s="9"/>
      <c r="H690" s="9"/>
      <c r="I690" s="9"/>
      <c r="J690" s="9"/>
      <c r="K690" s="9"/>
      <c r="L690" s="9"/>
    </row>
    <row r="691" spans="3:12" x14ac:dyDescent="0.25">
      <c r="C691"/>
      <c r="E691"/>
      <c r="F691"/>
      <c r="G691" s="9"/>
      <c r="H691" s="9"/>
      <c r="I691" s="9"/>
      <c r="J691" s="9"/>
      <c r="K691" s="9"/>
      <c r="L691" s="9"/>
    </row>
    <row r="692" spans="3:12" x14ac:dyDescent="0.25">
      <c r="C692"/>
      <c r="E692"/>
      <c r="F692"/>
      <c r="G692" s="9"/>
      <c r="H692" s="9"/>
      <c r="I692" s="9"/>
      <c r="J692" s="9"/>
      <c r="K692" s="9"/>
      <c r="L692" s="9"/>
    </row>
    <row r="693" spans="3:12" x14ac:dyDescent="0.25">
      <c r="C693"/>
      <c r="E693"/>
      <c r="F693"/>
      <c r="G693" s="9"/>
      <c r="H693" s="9"/>
      <c r="I693" s="9"/>
      <c r="J693" s="9"/>
      <c r="K693" s="9"/>
      <c r="L693" s="9"/>
    </row>
    <row r="694" spans="3:12" x14ac:dyDescent="0.25">
      <c r="C694"/>
      <c r="E694"/>
      <c r="F694"/>
      <c r="G694" s="9"/>
      <c r="H694" s="9"/>
      <c r="I694" s="9"/>
      <c r="J694" s="9"/>
      <c r="K694" s="9"/>
      <c r="L694" s="9"/>
    </row>
    <row r="695" spans="3:12" x14ac:dyDescent="0.25">
      <c r="C695"/>
      <c r="E695"/>
      <c r="F695"/>
      <c r="G695" s="9"/>
      <c r="H695" s="9"/>
      <c r="I695" s="9"/>
      <c r="J695" s="9"/>
      <c r="K695" s="9"/>
      <c r="L695" s="9"/>
    </row>
    <row r="696" spans="3:12" x14ac:dyDescent="0.25">
      <c r="C696"/>
      <c r="E696"/>
      <c r="F696"/>
      <c r="G696" s="9"/>
      <c r="H696" s="9"/>
      <c r="I696" s="9"/>
      <c r="J696" s="9"/>
      <c r="K696" s="9"/>
      <c r="L696" s="9"/>
    </row>
    <row r="697" spans="3:12" x14ac:dyDescent="0.25">
      <c r="C697"/>
      <c r="E697"/>
      <c r="F697"/>
      <c r="G697" s="9"/>
      <c r="H697" s="9"/>
      <c r="I697" s="9"/>
      <c r="J697" s="9"/>
      <c r="K697" s="9"/>
      <c r="L697" s="9"/>
    </row>
    <row r="698" spans="3:12" x14ac:dyDescent="0.25">
      <c r="C698"/>
      <c r="E698"/>
      <c r="F698"/>
      <c r="G698" s="9"/>
      <c r="H698" s="9"/>
      <c r="I698" s="9"/>
      <c r="J698" s="9"/>
      <c r="K698" s="9"/>
      <c r="L698" s="9"/>
    </row>
    <row r="699" spans="3:12" x14ac:dyDescent="0.25">
      <c r="C699"/>
      <c r="E699"/>
      <c r="F699"/>
      <c r="G699" s="9"/>
      <c r="H699" s="9"/>
      <c r="I699" s="9"/>
      <c r="J699" s="9"/>
      <c r="K699" s="9"/>
      <c r="L699" s="9"/>
    </row>
    <row r="700" spans="3:12" x14ac:dyDescent="0.25">
      <c r="C700"/>
      <c r="E700"/>
      <c r="F700"/>
      <c r="G700" s="9"/>
      <c r="H700" s="9"/>
      <c r="I700" s="9"/>
      <c r="J700" s="9"/>
      <c r="K700" s="9"/>
      <c r="L700" s="9"/>
    </row>
    <row r="701" spans="3:12" x14ac:dyDescent="0.25">
      <c r="C701"/>
      <c r="E701"/>
      <c r="F701"/>
      <c r="G701" s="9"/>
      <c r="H701" s="9"/>
      <c r="I701" s="9"/>
      <c r="J701" s="9"/>
      <c r="K701" s="9"/>
      <c r="L701" s="9"/>
    </row>
    <row r="702" spans="3:12" x14ac:dyDescent="0.25">
      <c r="C702"/>
      <c r="E702"/>
      <c r="F702"/>
      <c r="G702" s="9"/>
      <c r="H702" s="9"/>
      <c r="I702" s="9"/>
      <c r="J702" s="9"/>
      <c r="K702" s="9"/>
      <c r="L702" s="9"/>
    </row>
    <row r="703" spans="3:12" x14ac:dyDescent="0.25">
      <c r="C703"/>
      <c r="E703"/>
      <c r="F703"/>
      <c r="G703" s="9"/>
      <c r="H703" s="9"/>
      <c r="I703" s="9"/>
      <c r="J703" s="9"/>
      <c r="K703" s="9"/>
      <c r="L703" s="9"/>
    </row>
    <row r="704" spans="3:12" x14ac:dyDescent="0.25">
      <c r="C704"/>
      <c r="E704"/>
      <c r="F704"/>
      <c r="G704" s="9"/>
      <c r="H704" s="9"/>
      <c r="I704" s="9"/>
      <c r="J704" s="9"/>
      <c r="K704" s="9"/>
      <c r="L704" s="9"/>
    </row>
    <row r="705" spans="3:12" x14ac:dyDescent="0.25">
      <c r="C705"/>
      <c r="E705"/>
      <c r="F705"/>
      <c r="G705" s="9"/>
      <c r="H705" s="9"/>
      <c r="I705" s="9"/>
      <c r="J705" s="9"/>
      <c r="K705" s="9"/>
      <c r="L705" s="9"/>
    </row>
    <row r="706" spans="3:12" x14ac:dyDescent="0.25">
      <c r="C706"/>
      <c r="E706"/>
      <c r="F706"/>
      <c r="G706" s="9"/>
      <c r="H706" s="9"/>
      <c r="I706" s="9"/>
      <c r="J706" s="9"/>
      <c r="K706" s="9"/>
      <c r="L706" s="9"/>
    </row>
    <row r="707" spans="3:12" x14ac:dyDescent="0.25">
      <c r="C707"/>
      <c r="E707"/>
      <c r="F707"/>
      <c r="G707" s="9"/>
      <c r="H707" s="9"/>
      <c r="I707" s="9"/>
      <c r="J707" s="9"/>
      <c r="K707" s="9"/>
      <c r="L707" s="9"/>
    </row>
    <row r="708" spans="3:12" x14ac:dyDescent="0.25">
      <c r="C708"/>
      <c r="E708"/>
      <c r="F708"/>
      <c r="G708" s="9"/>
      <c r="H708" s="9"/>
      <c r="I708" s="9"/>
      <c r="J708" s="9"/>
      <c r="K708" s="9"/>
      <c r="L708" s="9"/>
    </row>
    <row r="709" spans="3:12" x14ac:dyDescent="0.25">
      <c r="C709"/>
      <c r="E709"/>
      <c r="F709"/>
      <c r="G709" s="9"/>
      <c r="H709" s="9"/>
      <c r="I709" s="9"/>
      <c r="J709" s="9"/>
      <c r="K709" s="9"/>
      <c r="L709" s="9"/>
    </row>
    <row r="710" spans="3:12" x14ac:dyDescent="0.25">
      <c r="C710"/>
      <c r="E710"/>
      <c r="F710"/>
      <c r="G710" s="9"/>
      <c r="H710" s="9"/>
      <c r="I710" s="9"/>
      <c r="J710" s="9"/>
      <c r="K710" s="9"/>
      <c r="L710" s="9"/>
    </row>
    <row r="711" spans="3:12" x14ac:dyDescent="0.25">
      <c r="C711"/>
      <c r="E711"/>
      <c r="F711"/>
      <c r="G711" s="9"/>
      <c r="H711" s="9"/>
      <c r="I711" s="9"/>
      <c r="J711" s="9"/>
      <c r="K711" s="9"/>
      <c r="L711" s="9"/>
    </row>
    <row r="712" spans="3:12" x14ac:dyDescent="0.25">
      <c r="C712"/>
      <c r="E712"/>
      <c r="F712"/>
      <c r="G712" s="9"/>
      <c r="H712" s="9"/>
      <c r="I712" s="9"/>
      <c r="J712" s="9"/>
      <c r="K712" s="9"/>
      <c r="L712" s="9"/>
    </row>
    <row r="713" spans="3:12" x14ac:dyDescent="0.25">
      <c r="C713"/>
      <c r="E713"/>
      <c r="F713"/>
      <c r="G713" s="9"/>
      <c r="H713" s="9"/>
      <c r="I713" s="9"/>
      <c r="J713" s="9"/>
      <c r="K713" s="9"/>
      <c r="L713" s="9"/>
    </row>
    <row r="714" spans="3:12" x14ac:dyDescent="0.25">
      <c r="C714"/>
      <c r="E714"/>
      <c r="F714"/>
      <c r="G714" s="9"/>
      <c r="H714" s="9"/>
      <c r="I714" s="9"/>
      <c r="J714" s="9"/>
      <c r="K714" s="9"/>
      <c r="L714" s="9"/>
    </row>
    <row r="715" spans="3:12" x14ac:dyDescent="0.25">
      <c r="C715"/>
      <c r="E715"/>
      <c r="F715"/>
      <c r="G715" s="9"/>
      <c r="H715" s="9"/>
      <c r="I715" s="9"/>
      <c r="J715" s="9"/>
      <c r="K715" s="9"/>
      <c r="L715" s="9"/>
    </row>
    <row r="716" spans="3:12" x14ac:dyDescent="0.25">
      <c r="C716"/>
      <c r="E716"/>
      <c r="F716"/>
      <c r="G716" s="9"/>
      <c r="H716" s="9"/>
      <c r="I716" s="9"/>
      <c r="J716" s="9"/>
      <c r="K716" s="9"/>
      <c r="L716" s="9"/>
    </row>
    <row r="717" spans="3:12" x14ac:dyDescent="0.25">
      <c r="C717"/>
      <c r="E717"/>
      <c r="F717"/>
      <c r="G717" s="9"/>
      <c r="H717" s="9"/>
      <c r="I717" s="9"/>
      <c r="J717" s="9"/>
      <c r="K717" s="9"/>
      <c r="L717" s="9"/>
    </row>
    <row r="718" spans="3:12" x14ac:dyDescent="0.25">
      <c r="C718"/>
      <c r="E718"/>
      <c r="F718"/>
      <c r="G718" s="9"/>
      <c r="H718" s="9"/>
      <c r="I718" s="9"/>
      <c r="J718" s="9"/>
      <c r="K718" s="9"/>
      <c r="L718" s="9"/>
    </row>
    <row r="719" spans="3:12" x14ac:dyDescent="0.25">
      <c r="C719"/>
      <c r="E719"/>
      <c r="F719"/>
      <c r="G719" s="9"/>
      <c r="H719" s="9"/>
      <c r="I719" s="9"/>
      <c r="J719" s="9"/>
      <c r="K719" s="9"/>
      <c r="L719" s="9"/>
    </row>
    <row r="720" spans="3:12" x14ac:dyDescent="0.25">
      <c r="C720"/>
      <c r="E720"/>
      <c r="F720"/>
      <c r="G720" s="9"/>
      <c r="H720" s="9"/>
      <c r="I720" s="9"/>
      <c r="J720" s="9"/>
      <c r="K720" s="9"/>
      <c r="L720" s="9"/>
    </row>
    <row r="721" spans="3:12" x14ac:dyDescent="0.25">
      <c r="C721"/>
      <c r="E721"/>
      <c r="F721"/>
      <c r="G721" s="9"/>
      <c r="H721" s="9"/>
      <c r="I721" s="9"/>
      <c r="J721" s="9"/>
      <c r="K721" s="9"/>
      <c r="L721" s="9"/>
    </row>
    <row r="722" spans="3:12" x14ac:dyDescent="0.25">
      <c r="C722"/>
      <c r="E722"/>
      <c r="F722"/>
      <c r="G722" s="9"/>
      <c r="H722" s="9"/>
      <c r="I722" s="9"/>
      <c r="J722" s="9"/>
      <c r="K722" s="9"/>
      <c r="L722" s="9"/>
    </row>
    <row r="723" spans="3:12" x14ac:dyDescent="0.25">
      <c r="C723"/>
      <c r="E723"/>
      <c r="F723"/>
      <c r="G723" s="9"/>
      <c r="H723" s="9"/>
      <c r="I723" s="9"/>
      <c r="J723" s="9"/>
      <c r="K723" s="9"/>
      <c r="L723" s="9"/>
    </row>
    <row r="724" spans="3:12" x14ac:dyDescent="0.25">
      <c r="C724"/>
      <c r="E724"/>
      <c r="F724"/>
      <c r="G724" s="9"/>
      <c r="H724" s="9"/>
      <c r="I724" s="9"/>
      <c r="J724" s="9"/>
      <c r="K724" s="9"/>
      <c r="L724" s="9"/>
    </row>
    <row r="725" spans="3:12" x14ac:dyDescent="0.25">
      <c r="C725"/>
      <c r="E725"/>
      <c r="F725"/>
      <c r="G725" s="9"/>
      <c r="H725" s="9"/>
      <c r="I725" s="9"/>
      <c r="J725" s="9"/>
      <c r="K725" s="9"/>
      <c r="L725" s="9"/>
    </row>
    <row r="726" spans="3:12" x14ac:dyDescent="0.25">
      <c r="C726"/>
      <c r="E726"/>
      <c r="F726"/>
      <c r="G726" s="9"/>
      <c r="H726" s="9"/>
      <c r="I726" s="9"/>
      <c r="J726" s="9"/>
      <c r="K726" s="9"/>
      <c r="L726" s="9"/>
    </row>
    <row r="727" spans="3:12" x14ac:dyDescent="0.25">
      <c r="C727"/>
      <c r="E727"/>
      <c r="F727"/>
      <c r="G727" s="9"/>
      <c r="H727" s="9"/>
      <c r="I727" s="9"/>
      <c r="J727" s="9"/>
      <c r="K727" s="9"/>
      <c r="L727" s="9"/>
    </row>
    <row r="728" spans="3:12" x14ac:dyDescent="0.25">
      <c r="C728"/>
      <c r="E728"/>
      <c r="F728"/>
      <c r="G728" s="9"/>
      <c r="H728" s="9"/>
      <c r="I728" s="9"/>
      <c r="J728" s="9"/>
      <c r="K728" s="9"/>
      <c r="L728" s="9"/>
    </row>
    <row r="729" spans="3:12" x14ac:dyDescent="0.25">
      <c r="C729"/>
      <c r="E729"/>
      <c r="F729"/>
      <c r="G729" s="9"/>
      <c r="H729" s="9"/>
      <c r="I729" s="9"/>
      <c r="J729" s="9"/>
      <c r="K729" s="9"/>
      <c r="L729" s="9"/>
    </row>
    <row r="730" spans="3:12" x14ac:dyDescent="0.25">
      <c r="C730"/>
      <c r="E730"/>
      <c r="F730"/>
      <c r="G730" s="9"/>
      <c r="H730" s="9"/>
      <c r="I730" s="9"/>
      <c r="J730" s="9"/>
      <c r="K730" s="9"/>
      <c r="L730" s="9"/>
    </row>
    <row r="731" spans="3:12" x14ac:dyDescent="0.25">
      <c r="C731"/>
      <c r="E731"/>
      <c r="F731"/>
      <c r="G731" s="9"/>
      <c r="H731" s="9"/>
      <c r="I731" s="9"/>
      <c r="J731" s="9"/>
      <c r="K731" s="9"/>
      <c r="L731" s="9"/>
    </row>
    <row r="732" spans="3:12" x14ac:dyDescent="0.25">
      <c r="C732"/>
      <c r="E732"/>
      <c r="F732"/>
      <c r="G732" s="9"/>
      <c r="H732" s="9"/>
      <c r="I732" s="9"/>
      <c r="J732" s="9"/>
      <c r="K732" s="9"/>
      <c r="L732" s="9"/>
    </row>
    <row r="733" spans="3:12" x14ac:dyDescent="0.25">
      <c r="C733"/>
      <c r="E733"/>
      <c r="F733"/>
      <c r="G733" s="9"/>
      <c r="H733" s="9"/>
      <c r="I733" s="9"/>
      <c r="J733" s="9"/>
      <c r="K733" s="9"/>
      <c r="L733" s="9"/>
    </row>
    <row r="734" spans="3:12" x14ac:dyDescent="0.25">
      <c r="C734"/>
      <c r="E734"/>
      <c r="F734"/>
      <c r="G734" s="9"/>
      <c r="H734" s="9"/>
      <c r="I734" s="9"/>
      <c r="J734" s="9"/>
      <c r="K734" s="9"/>
      <c r="L734" s="9"/>
    </row>
    <row r="735" spans="3:12" x14ac:dyDescent="0.25">
      <c r="C735"/>
      <c r="E735"/>
      <c r="F735"/>
      <c r="G735" s="9"/>
      <c r="H735" s="9"/>
      <c r="I735" s="9"/>
      <c r="J735" s="9"/>
      <c r="K735" s="9"/>
      <c r="L735" s="9"/>
    </row>
    <row r="736" spans="3:12" x14ac:dyDescent="0.25">
      <c r="C736"/>
      <c r="E736"/>
      <c r="F736"/>
      <c r="G736" s="9"/>
      <c r="H736" s="9"/>
      <c r="I736" s="9"/>
      <c r="J736" s="9"/>
      <c r="K736" s="9"/>
      <c r="L736" s="9"/>
    </row>
    <row r="737" spans="3:12" x14ac:dyDescent="0.25">
      <c r="C737"/>
      <c r="E737"/>
      <c r="F737"/>
      <c r="G737" s="9"/>
      <c r="H737" s="9"/>
      <c r="I737" s="9"/>
      <c r="J737" s="9"/>
      <c r="K737" s="9"/>
      <c r="L737" s="9"/>
    </row>
    <row r="738" spans="3:12" x14ac:dyDescent="0.25">
      <c r="C738"/>
      <c r="E738"/>
      <c r="F738"/>
      <c r="G738" s="9"/>
      <c r="H738" s="9"/>
      <c r="I738" s="9"/>
      <c r="J738" s="9"/>
      <c r="K738" s="9"/>
      <c r="L738" s="9"/>
    </row>
    <row r="739" spans="3:12" x14ac:dyDescent="0.25">
      <c r="C739"/>
      <c r="E739"/>
      <c r="F739"/>
      <c r="G739" s="9"/>
      <c r="H739" s="9"/>
      <c r="I739" s="9"/>
      <c r="J739" s="9"/>
      <c r="K739" s="9"/>
      <c r="L739" s="9"/>
    </row>
    <row r="740" spans="3:12" x14ac:dyDescent="0.25">
      <c r="C740"/>
      <c r="E740"/>
      <c r="F740"/>
      <c r="G740" s="9"/>
      <c r="H740" s="9"/>
      <c r="I740" s="9"/>
      <c r="J740" s="9"/>
      <c r="K740" s="9"/>
      <c r="L740" s="9"/>
    </row>
    <row r="741" spans="3:12" x14ac:dyDescent="0.25">
      <c r="C741"/>
      <c r="E741"/>
      <c r="F741"/>
      <c r="G741" s="9"/>
      <c r="H741" s="9"/>
      <c r="I741" s="9"/>
      <c r="J741" s="9"/>
      <c r="K741" s="9"/>
      <c r="L741" s="9"/>
    </row>
    <row r="742" spans="3:12" x14ac:dyDescent="0.25">
      <c r="C742"/>
      <c r="E742"/>
      <c r="F742"/>
      <c r="G742" s="9"/>
      <c r="H742" s="9"/>
      <c r="I742" s="9"/>
      <c r="J742" s="9"/>
      <c r="K742" s="9"/>
      <c r="L742" s="9"/>
    </row>
    <row r="743" spans="3:12" x14ac:dyDescent="0.25">
      <c r="C743"/>
      <c r="E743"/>
      <c r="F743"/>
      <c r="G743" s="9"/>
      <c r="H743" s="9"/>
      <c r="I743" s="9"/>
      <c r="J743" s="9"/>
      <c r="K743" s="9"/>
      <c r="L743" s="9"/>
    </row>
    <row r="744" spans="3:12" x14ac:dyDescent="0.25">
      <c r="C744"/>
      <c r="E744"/>
      <c r="F744"/>
      <c r="G744" s="9"/>
      <c r="H744" s="9"/>
      <c r="I744" s="9"/>
      <c r="J744" s="9"/>
      <c r="K744" s="9"/>
      <c r="L744" s="9"/>
    </row>
    <row r="745" spans="3:12" x14ac:dyDescent="0.25">
      <c r="C745"/>
      <c r="E745"/>
      <c r="F745"/>
      <c r="G745" s="9"/>
      <c r="H745" s="9"/>
      <c r="I745" s="9"/>
      <c r="J745" s="9"/>
      <c r="K745" s="9"/>
      <c r="L745" s="9"/>
    </row>
    <row r="746" spans="3:12" x14ac:dyDescent="0.25">
      <c r="C746"/>
      <c r="E746"/>
      <c r="F746"/>
      <c r="G746" s="9"/>
      <c r="H746" s="9"/>
      <c r="I746" s="9"/>
      <c r="J746" s="9"/>
      <c r="K746" s="9"/>
      <c r="L746" s="9"/>
    </row>
    <row r="747" spans="3:12" x14ac:dyDescent="0.25">
      <c r="C747"/>
      <c r="E747"/>
      <c r="F747"/>
      <c r="G747" s="9"/>
      <c r="H747" s="9"/>
      <c r="I747" s="9"/>
      <c r="J747" s="9"/>
      <c r="K747" s="9"/>
      <c r="L747" s="9"/>
    </row>
    <row r="748" spans="3:12" x14ac:dyDescent="0.25">
      <c r="C748"/>
      <c r="E748"/>
      <c r="F748"/>
      <c r="G748" s="9"/>
      <c r="H748" s="9"/>
      <c r="I748" s="9"/>
      <c r="J748" s="9"/>
      <c r="K748" s="9"/>
      <c r="L748" s="9"/>
    </row>
    <row r="749" spans="3:12" x14ac:dyDescent="0.25">
      <c r="C749"/>
      <c r="E749"/>
      <c r="F749"/>
      <c r="G749" s="9"/>
      <c r="H749" s="9"/>
      <c r="I749" s="9"/>
      <c r="J749" s="9"/>
      <c r="K749" s="9"/>
      <c r="L749" s="9"/>
    </row>
    <row r="750" spans="3:12" x14ac:dyDescent="0.25">
      <c r="C750"/>
      <c r="E750"/>
      <c r="F750"/>
      <c r="G750" s="9"/>
      <c r="H750" s="9"/>
      <c r="I750" s="9"/>
      <c r="J750" s="9"/>
      <c r="K750" s="9"/>
      <c r="L750" s="9"/>
    </row>
    <row r="751" spans="3:12" x14ac:dyDescent="0.25">
      <c r="C751"/>
      <c r="E751"/>
      <c r="F751"/>
      <c r="G751" s="9"/>
      <c r="H751" s="9"/>
      <c r="I751" s="9"/>
      <c r="J751" s="9"/>
      <c r="K751" s="9"/>
      <c r="L751" s="9"/>
    </row>
    <row r="752" spans="3:12" x14ac:dyDescent="0.25">
      <c r="C752"/>
      <c r="E752"/>
      <c r="F752"/>
      <c r="G752" s="9"/>
      <c r="H752" s="9"/>
      <c r="I752" s="9"/>
      <c r="J752" s="9"/>
      <c r="K752" s="9"/>
      <c r="L752" s="9"/>
    </row>
    <row r="753" spans="3:12" x14ac:dyDescent="0.25">
      <c r="C753"/>
      <c r="E753"/>
      <c r="F753"/>
      <c r="G753" s="9"/>
      <c r="H753" s="9"/>
      <c r="I753" s="9"/>
      <c r="J753" s="9"/>
      <c r="K753" s="9"/>
      <c r="L753" s="9"/>
    </row>
    <row r="754" spans="3:12" x14ac:dyDescent="0.25">
      <c r="C754"/>
      <c r="E754"/>
      <c r="F754"/>
      <c r="G754" s="9"/>
      <c r="H754" s="9"/>
      <c r="I754" s="9"/>
      <c r="J754" s="9"/>
      <c r="K754" s="9"/>
      <c r="L754" s="9"/>
    </row>
    <row r="755" spans="3:12" x14ac:dyDescent="0.25">
      <c r="C755"/>
      <c r="E755"/>
      <c r="F755"/>
      <c r="G755" s="9"/>
      <c r="H755" s="9"/>
      <c r="I755" s="9"/>
      <c r="J755" s="9"/>
      <c r="K755" s="9"/>
      <c r="L755" s="9"/>
    </row>
    <row r="756" spans="3:12" x14ac:dyDescent="0.25">
      <c r="C756"/>
      <c r="E756"/>
      <c r="F756"/>
      <c r="G756" s="9"/>
      <c r="H756" s="9"/>
      <c r="I756" s="9"/>
      <c r="J756" s="9"/>
      <c r="K756" s="9"/>
      <c r="L756" s="9"/>
    </row>
    <row r="757" spans="3:12" x14ac:dyDescent="0.25">
      <c r="C757"/>
      <c r="E757"/>
      <c r="F757"/>
      <c r="G757" s="9"/>
      <c r="H757" s="9"/>
      <c r="I757" s="9"/>
      <c r="J757" s="9"/>
      <c r="K757" s="9"/>
      <c r="L757" s="9"/>
    </row>
    <row r="758" spans="3:12" x14ac:dyDescent="0.25">
      <c r="C758"/>
      <c r="E758"/>
      <c r="F758"/>
      <c r="G758" s="9"/>
      <c r="H758" s="9"/>
      <c r="I758" s="9"/>
      <c r="J758" s="9"/>
      <c r="K758" s="9"/>
      <c r="L758" s="9"/>
    </row>
    <row r="759" spans="3:12" x14ac:dyDescent="0.25">
      <c r="C759"/>
      <c r="E759"/>
      <c r="F759"/>
      <c r="G759" s="9"/>
      <c r="H759" s="9"/>
      <c r="I759" s="9"/>
      <c r="J759" s="9"/>
      <c r="K759" s="9"/>
      <c r="L759" s="9"/>
    </row>
    <row r="760" spans="3:12" x14ac:dyDescent="0.25">
      <c r="C760"/>
      <c r="E760"/>
      <c r="F760"/>
      <c r="G760" s="9"/>
      <c r="H760" s="9"/>
      <c r="I760" s="9"/>
      <c r="J760" s="9"/>
      <c r="K760" s="9"/>
      <c r="L760" s="9"/>
    </row>
    <row r="761" spans="3:12" x14ac:dyDescent="0.25">
      <c r="C761"/>
      <c r="E761"/>
      <c r="F761"/>
      <c r="G761" s="9"/>
      <c r="H761" s="9"/>
      <c r="I761" s="9"/>
      <c r="J761" s="9"/>
      <c r="K761" s="9"/>
      <c r="L761" s="9"/>
    </row>
    <row r="762" spans="3:12" x14ac:dyDescent="0.25">
      <c r="C762"/>
      <c r="E762"/>
      <c r="F762"/>
      <c r="G762" s="9"/>
      <c r="H762" s="9"/>
      <c r="I762" s="9"/>
      <c r="J762" s="9"/>
      <c r="K762" s="9"/>
      <c r="L762" s="9"/>
    </row>
    <row r="763" spans="3:12" x14ac:dyDescent="0.25">
      <c r="C763"/>
      <c r="E763"/>
      <c r="F763"/>
      <c r="G763" s="9"/>
      <c r="H763" s="9"/>
      <c r="I763" s="9"/>
      <c r="J763" s="9"/>
      <c r="K763" s="9"/>
      <c r="L763" s="9"/>
    </row>
    <row r="764" spans="3:12" x14ac:dyDescent="0.25">
      <c r="C764"/>
      <c r="E764"/>
      <c r="F764"/>
      <c r="G764" s="9"/>
      <c r="H764" s="9"/>
      <c r="I764" s="9"/>
      <c r="J764" s="9"/>
      <c r="K764" s="9"/>
      <c r="L764" s="9"/>
    </row>
    <row r="765" spans="3:12" x14ac:dyDescent="0.25">
      <c r="C765"/>
      <c r="E765"/>
      <c r="F765"/>
      <c r="G765" s="9"/>
      <c r="H765" s="9"/>
      <c r="I765" s="9"/>
      <c r="J765" s="9"/>
      <c r="K765" s="9"/>
      <c r="L765" s="9"/>
    </row>
    <row r="766" spans="3:12" x14ac:dyDescent="0.25">
      <c r="C766"/>
      <c r="E766"/>
      <c r="F766"/>
      <c r="G766" s="9"/>
      <c r="H766" s="9"/>
      <c r="I766" s="9"/>
      <c r="J766" s="9"/>
      <c r="K766" s="9"/>
      <c r="L766" s="9"/>
    </row>
    <row r="767" spans="3:12" x14ac:dyDescent="0.25">
      <c r="C767"/>
      <c r="E767"/>
      <c r="F767"/>
      <c r="G767" s="9"/>
      <c r="H767" s="9"/>
      <c r="I767" s="9"/>
      <c r="J767" s="9"/>
      <c r="K767" s="9"/>
      <c r="L767" s="9"/>
    </row>
    <row r="768" spans="3:12" x14ac:dyDescent="0.25">
      <c r="C768"/>
      <c r="E768"/>
      <c r="F768"/>
      <c r="G768" s="9"/>
      <c r="H768" s="9"/>
      <c r="I768" s="9"/>
      <c r="J768" s="9"/>
      <c r="K768" s="9"/>
      <c r="L768" s="9"/>
    </row>
    <row r="769" spans="3:12" x14ac:dyDescent="0.25">
      <c r="C769"/>
      <c r="E769"/>
      <c r="F769"/>
      <c r="G769" s="9"/>
      <c r="H769" s="9"/>
      <c r="I769" s="9"/>
      <c r="J769" s="9"/>
      <c r="K769" s="9"/>
      <c r="L769" s="9"/>
    </row>
    <row r="770" spans="3:12" x14ac:dyDescent="0.25">
      <c r="C770"/>
      <c r="E770"/>
      <c r="F770"/>
      <c r="G770" s="9"/>
      <c r="H770" s="9"/>
      <c r="I770" s="9"/>
      <c r="J770" s="9"/>
      <c r="K770" s="9"/>
      <c r="L770" s="9"/>
    </row>
    <row r="771" spans="3:12" x14ac:dyDescent="0.25">
      <c r="C771"/>
      <c r="E771"/>
      <c r="F771"/>
      <c r="G771" s="9"/>
      <c r="H771" s="9"/>
      <c r="I771" s="9"/>
      <c r="J771" s="9"/>
      <c r="K771" s="9"/>
      <c r="L771" s="9"/>
    </row>
    <row r="772" spans="3:12" x14ac:dyDescent="0.25">
      <c r="C772"/>
      <c r="E772"/>
      <c r="F772"/>
      <c r="G772" s="9"/>
      <c r="H772" s="9"/>
      <c r="I772" s="9"/>
      <c r="J772" s="9"/>
      <c r="K772" s="9"/>
      <c r="L772" s="9"/>
    </row>
    <row r="773" spans="3:12" x14ac:dyDescent="0.25">
      <c r="C773"/>
      <c r="E773"/>
      <c r="F773"/>
      <c r="G773" s="9"/>
      <c r="H773" s="9"/>
      <c r="I773" s="9"/>
      <c r="J773" s="9"/>
      <c r="K773" s="9"/>
      <c r="L773" s="9"/>
    </row>
    <row r="774" spans="3:12" x14ac:dyDescent="0.25">
      <c r="C774"/>
      <c r="E774"/>
      <c r="F774"/>
      <c r="G774" s="9"/>
      <c r="H774" s="9"/>
      <c r="I774" s="9"/>
      <c r="J774" s="9"/>
      <c r="K774" s="9"/>
      <c r="L774" s="9"/>
    </row>
    <row r="775" spans="3:12" x14ac:dyDescent="0.25">
      <c r="C775"/>
      <c r="E775"/>
      <c r="F775"/>
      <c r="G775" s="9"/>
      <c r="H775" s="9"/>
      <c r="I775" s="9"/>
      <c r="J775" s="9"/>
      <c r="K775" s="9"/>
      <c r="L775" s="9"/>
    </row>
    <row r="776" spans="3:12" x14ac:dyDescent="0.25">
      <c r="C776"/>
      <c r="E776"/>
      <c r="F776"/>
      <c r="G776" s="9"/>
      <c r="H776" s="9"/>
      <c r="I776" s="9"/>
      <c r="J776" s="9"/>
      <c r="K776" s="9"/>
      <c r="L776" s="9"/>
    </row>
    <row r="777" spans="3:12" x14ac:dyDescent="0.25">
      <c r="C777"/>
      <c r="E777"/>
      <c r="F777"/>
      <c r="G777" s="9"/>
      <c r="H777" s="9"/>
      <c r="I777" s="9"/>
      <c r="J777" s="9"/>
      <c r="K777" s="9"/>
      <c r="L777" s="9"/>
    </row>
    <row r="778" spans="3:12" x14ac:dyDescent="0.25">
      <c r="C778"/>
      <c r="E778"/>
      <c r="F778"/>
      <c r="G778" s="9"/>
      <c r="H778" s="9"/>
      <c r="I778" s="9"/>
      <c r="J778" s="9"/>
      <c r="K778" s="9"/>
      <c r="L778" s="9"/>
    </row>
    <row r="779" spans="3:12" x14ac:dyDescent="0.25">
      <c r="C779"/>
      <c r="E779"/>
      <c r="F779"/>
      <c r="G779" s="9"/>
      <c r="H779" s="9"/>
      <c r="I779" s="9"/>
      <c r="J779" s="9"/>
      <c r="K779" s="9"/>
      <c r="L779" s="9"/>
    </row>
    <row r="780" spans="3:12" x14ac:dyDescent="0.25">
      <c r="C780"/>
      <c r="E780"/>
      <c r="F780"/>
      <c r="G780" s="9"/>
      <c r="H780" s="9"/>
      <c r="I780" s="9"/>
      <c r="J780" s="9"/>
      <c r="K780" s="9"/>
      <c r="L780" s="9"/>
    </row>
    <row r="781" spans="3:12" x14ac:dyDescent="0.25">
      <c r="C781"/>
      <c r="E781"/>
      <c r="F781"/>
      <c r="G781" s="9"/>
      <c r="H781" s="9"/>
      <c r="I781" s="9"/>
      <c r="J781" s="9"/>
      <c r="K781" s="9"/>
      <c r="L781" s="9"/>
    </row>
    <row r="782" spans="3:12" x14ac:dyDescent="0.25">
      <c r="C782"/>
      <c r="E782"/>
      <c r="F782"/>
      <c r="G782" s="9"/>
      <c r="H782" s="9"/>
      <c r="I782" s="9"/>
      <c r="J782" s="9"/>
      <c r="K782" s="9"/>
      <c r="L782" s="9"/>
    </row>
    <row r="783" spans="3:12" x14ac:dyDescent="0.25">
      <c r="C783"/>
      <c r="E783"/>
      <c r="F783"/>
      <c r="G783" s="9"/>
      <c r="H783" s="9"/>
      <c r="I783" s="9"/>
      <c r="J783" s="9"/>
      <c r="K783" s="9"/>
      <c r="L783" s="9"/>
    </row>
    <row r="784" spans="3:12" x14ac:dyDescent="0.25">
      <c r="C784"/>
      <c r="E784"/>
      <c r="F784"/>
      <c r="G784" s="9"/>
      <c r="H784" s="9"/>
      <c r="I784" s="9"/>
      <c r="J784" s="9"/>
      <c r="K784" s="9"/>
      <c r="L784" s="9"/>
    </row>
    <row r="785" spans="3:12" x14ac:dyDescent="0.25">
      <c r="C785"/>
      <c r="E785"/>
      <c r="F785"/>
      <c r="G785" s="9"/>
      <c r="H785" s="9"/>
      <c r="I785" s="9"/>
      <c r="J785" s="9"/>
      <c r="K785" s="9"/>
      <c r="L785" s="9"/>
    </row>
    <row r="786" spans="3:12" x14ac:dyDescent="0.25">
      <c r="C786"/>
      <c r="E786"/>
      <c r="F786"/>
      <c r="G786" s="9"/>
      <c r="H786" s="9"/>
      <c r="I786" s="9"/>
      <c r="J786" s="9"/>
      <c r="K786" s="9"/>
      <c r="L786" s="9"/>
    </row>
    <row r="787" spans="3:12" x14ac:dyDescent="0.25">
      <c r="C787"/>
      <c r="E787"/>
      <c r="F787"/>
      <c r="G787" s="9"/>
      <c r="H787" s="9"/>
      <c r="I787" s="9"/>
      <c r="J787" s="9"/>
      <c r="K787" s="9"/>
      <c r="L787" s="9"/>
    </row>
    <row r="788" spans="3:12" x14ac:dyDescent="0.25">
      <c r="C788"/>
      <c r="E788"/>
      <c r="F788"/>
      <c r="G788" s="9"/>
      <c r="H788" s="9"/>
      <c r="I788" s="9"/>
      <c r="J788" s="9"/>
      <c r="K788" s="9"/>
      <c r="L788" s="9"/>
    </row>
    <row r="789" spans="3:12" x14ac:dyDescent="0.25">
      <c r="C789"/>
      <c r="E789"/>
      <c r="F789"/>
      <c r="G789" s="9"/>
      <c r="H789" s="9"/>
      <c r="I789" s="9"/>
      <c r="J789" s="9"/>
      <c r="K789" s="9"/>
      <c r="L789" s="9"/>
    </row>
    <row r="790" spans="3:12" x14ac:dyDescent="0.25">
      <c r="C790"/>
      <c r="E790"/>
      <c r="F790"/>
      <c r="G790" s="9"/>
      <c r="H790" s="9"/>
      <c r="I790" s="9"/>
      <c r="J790" s="9"/>
      <c r="K790" s="9"/>
      <c r="L790" s="9"/>
    </row>
    <row r="791" spans="3:12" x14ac:dyDescent="0.25">
      <c r="C791"/>
      <c r="E791"/>
      <c r="F791"/>
      <c r="G791" s="9"/>
      <c r="H791" s="9"/>
      <c r="I791" s="9"/>
      <c r="J791" s="9"/>
      <c r="K791" s="9"/>
      <c r="L791" s="9"/>
    </row>
    <row r="792" spans="3:12" x14ac:dyDescent="0.25">
      <c r="C792"/>
      <c r="E792"/>
      <c r="F792"/>
      <c r="G792" s="9"/>
      <c r="H792" s="9"/>
      <c r="I792" s="9"/>
      <c r="J792" s="9"/>
      <c r="K792" s="9"/>
      <c r="L792" s="9"/>
    </row>
    <row r="793" spans="3:12" x14ac:dyDescent="0.25">
      <c r="C793"/>
      <c r="E793"/>
      <c r="F793"/>
      <c r="G793" s="9"/>
      <c r="H793" s="9"/>
      <c r="I793" s="9"/>
      <c r="J793" s="9"/>
      <c r="K793" s="9"/>
      <c r="L793" s="9"/>
    </row>
    <row r="794" spans="3:12" x14ac:dyDescent="0.25">
      <c r="C794"/>
      <c r="E794"/>
      <c r="F794"/>
      <c r="G794" s="9"/>
      <c r="H794" s="9"/>
      <c r="I794" s="9"/>
      <c r="J794" s="9"/>
      <c r="K794" s="9"/>
      <c r="L794" s="9"/>
    </row>
    <row r="795" spans="3:12" x14ac:dyDescent="0.25">
      <c r="C795"/>
      <c r="E795"/>
      <c r="F795"/>
      <c r="G795" s="9"/>
      <c r="H795" s="9"/>
      <c r="I795" s="9"/>
      <c r="J795" s="9"/>
      <c r="K795" s="9"/>
      <c r="L795" s="9"/>
    </row>
    <row r="796" spans="3:12" x14ac:dyDescent="0.25">
      <c r="C796"/>
      <c r="E796"/>
      <c r="F796"/>
      <c r="G796" s="9"/>
      <c r="H796" s="9"/>
      <c r="I796" s="9"/>
      <c r="J796" s="9"/>
      <c r="K796" s="9"/>
      <c r="L796" s="9"/>
    </row>
    <row r="797" spans="3:12" x14ac:dyDescent="0.25">
      <c r="C797"/>
      <c r="E797"/>
      <c r="F797"/>
      <c r="G797" s="9"/>
      <c r="H797" s="9"/>
      <c r="I797" s="9"/>
      <c r="J797" s="9"/>
      <c r="K797" s="9"/>
      <c r="L797" s="9"/>
    </row>
    <row r="798" spans="3:12" x14ac:dyDescent="0.25">
      <c r="C798"/>
      <c r="E798"/>
      <c r="F798"/>
      <c r="G798" s="9"/>
      <c r="H798" s="9"/>
      <c r="I798" s="9"/>
      <c r="J798" s="9"/>
      <c r="K798" s="9"/>
      <c r="L798" s="9"/>
    </row>
    <row r="799" spans="3:12" x14ac:dyDescent="0.25">
      <c r="C799"/>
      <c r="E799"/>
      <c r="F799"/>
      <c r="G799" s="9"/>
      <c r="H799" s="9"/>
      <c r="I799" s="9"/>
      <c r="J799" s="9"/>
      <c r="K799" s="9"/>
      <c r="L799" s="9"/>
    </row>
    <row r="800" spans="3:12" x14ac:dyDescent="0.25">
      <c r="C800"/>
      <c r="E800"/>
      <c r="F800"/>
      <c r="G800" s="9"/>
      <c r="H800" s="9"/>
      <c r="I800" s="9"/>
      <c r="J800" s="9"/>
      <c r="K800" s="9"/>
      <c r="L800" s="9"/>
    </row>
    <row r="801" spans="3:12" x14ac:dyDescent="0.25">
      <c r="C801"/>
      <c r="E801"/>
      <c r="F801"/>
      <c r="G801" s="9"/>
      <c r="H801" s="9"/>
      <c r="I801" s="9"/>
      <c r="J801" s="9"/>
      <c r="K801" s="9"/>
      <c r="L801" s="9"/>
    </row>
    <row r="802" spans="3:12" x14ac:dyDescent="0.25">
      <c r="C802"/>
      <c r="E802"/>
      <c r="F802"/>
      <c r="G802" s="9"/>
      <c r="H802" s="9"/>
      <c r="I802" s="9"/>
      <c r="J802" s="9"/>
      <c r="K802" s="9"/>
      <c r="L802" s="9"/>
    </row>
    <row r="803" spans="3:12" x14ac:dyDescent="0.25">
      <c r="C803"/>
      <c r="E803"/>
      <c r="F803"/>
      <c r="G803" s="9"/>
      <c r="H803" s="9"/>
      <c r="I803" s="9"/>
      <c r="J803" s="9"/>
      <c r="K803" s="9"/>
      <c r="L803" s="9"/>
    </row>
    <row r="804" spans="3:12" x14ac:dyDescent="0.25">
      <c r="C804"/>
      <c r="E804"/>
      <c r="F804"/>
      <c r="G804" s="9"/>
      <c r="H804" s="9"/>
      <c r="I804" s="9"/>
      <c r="J804" s="9"/>
      <c r="K804" s="9"/>
      <c r="L804" s="9"/>
    </row>
    <row r="805" spans="3:12" x14ac:dyDescent="0.25">
      <c r="C805"/>
      <c r="E805"/>
      <c r="F805"/>
      <c r="G805" s="9"/>
      <c r="H805" s="9"/>
      <c r="I805" s="9"/>
      <c r="J805" s="9"/>
      <c r="K805" s="9"/>
      <c r="L805" s="9"/>
    </row>
    <row r="806" spans="3:12" x14ac:dyDescent="0.25">
      <c r="C806"/>
      <c r="E806"/>
      <c r="F806"/>
      <c r="G806" s="9"/>
      <c r="H806" s="9"/>
      <c r="I806" s="9"/>
      <c r="J806" s="9"/>
      <c r="K806" s="9"/>
      <c r="L806" s="9"/>
    </row>
    <row r="807" spans="3:12" x14ac:dyDescent="0.25">
      <c r="C807"/>
      <c r="E807"/>
      <c r="F807"/>
      <c r="G807" s="9"/>
      <c r="H807" s="9"/>
      <c r="I807" s="9"/>
      <c r="J807" s="9"/>
      <c r="K807" s="9"/>
      <c r="L807" s="9"/>
    </row>
    <row r="808" spans="3:12" x14ac:dyDescent="0.25">
      <c r="C808"/>
      <c r="E808"/>
      <c r="F808"/>
      <c r="G808" s="9"/>
      <c r="H808" s="9"/>
      <c r="I808" s="9"/>
      <c r="J808" s="9"/>
      <c r="K808" s="9"/>
      <c r="L808" s="9"/>
    </row>
    <row r="809" spans="3:12" x14ac:dyDescent="0.25">
      <c r="C809"/>
      <c r="E809"/>
      <c r="F809"/>
      <c r="G809" s="9"/>
      <c r="H809" s="9"/>
      <c r="I809" s="9"/>
      <c r="J809" s="9"/>
      <c r="K809" s="9"/>
      <c r="L809" s="9"/>
    </row>
    <row r="810" spans="3:12" x14ac:dyDescent="0.25">
      <c r="C810"/>
      <c r="E810"/>
      <c r="F810"/>
      <c r="G810" s="9"/>
      <c r="H810" s="9"/>
      <c r="I810" s="9"/>
      <c r="J810" s="9"/>
      <c r="K810" s="9"/>
      <c r="L810" s="9"/>
    </row>
    <row r="811" spans="3:12" x14ac:dyDescent="0.25">
      <c r="C811"/>
      <c r="E811"/>
      <c r="F811"/>
      <c r="G811" s="9"/>
      <c r="H811" s="9"/>
      <c r="I811" s="9"/>
      <c r="J811" s="9"/>
      <c r="K811" s="9"/>
      <c r="L811" s="9"/>
    </row>
    <row r="812" spans="3:12" x14ac:dyDescent="0.25">
      <c r="C812"/>
      <c r="E812"/>
      <c r="F812"/>
      <c r="G812" s="9"/>
      <c r="H812" s="9"/>
      <c r="I812" s="9"/>
      <c r="J812" s="9"/>
      <c r="K812" s="9"/>
      <c r="L812" s="9"/>
    </row>
    <row r="813" spans="3:12" x14ac:dyDescent="0.25">
      <c r="C813"/>
      <c r="E813"/>
      <c r="F813"/>
      <c r="G813" s="9"/>
      <c r="H813" s="9"/>
      <c r="I813" s="9"/>
      <c r="J813" s="9"/>
      <c r="K813" s="9"/>
      <c r="L813" s="9"/>
    </row>
    <row r="814" spans="3:12" x14ac:dyDescent="0.25">
      <c r="C814"/>
      <c r="E814"/>
      <c r="F814"/>
      <c r="G814" s="9"/>
      <c r="H814" s="9"/>
      <c r="I814" s="9"/>
      <c r="J814" s="9"/>
      <c r="K814" s="9"/>
      <c r="L814" s="9"/>
    </row>
    <row r="815" spans="3:12" x14ac:dyDescent="0.25">
      <c r="C815"/>
      <c r="E815"/>
      <c r="F815"/>
      <c r="G815" s="9"/>
      <c r="H815" s="9"/>
      <c r="I815" s="9"/>
      <c r="J815" s="9"/>
      <c r="K815" s="9"/>
      <c r="L815" s="9"/>
    </row>
    <row r="816" spans="3:12" x14ac:dyDescent="0.25">
      <c r="C816"/>
      <c r="E816"/>
      <c r="F816"/>
      <c r="G816" s="9"/>
      <c r="H816" s="9"/>
      <c r="I816" s="9"/>
      <c r="J816" s="9"/>
      <c r="K816" s="9"/>
      <c r="L816" s="9"/>
    </row>
    <row r="817" spans="3:12" x14ac:dyDescent="0.25">
      <c r="C817"/>
      <c r="E817"/>
      <c r="F817"/>
      <c r="G817" s="9"/>
      <c r="H817" s="9"/>
      <c r="I817" s="9"/>
      <c r="J817" s="9"/>
      <c r="K817" s="9"/>
      <c r="L817" s="9"/>
    </row>
    <row r="818" spans="3:12" x14ac:dyDescent="0.25">
      <c r="C818"/>
      <c r="E818"/>
      <c r="F818"/>
      <c r="G818" s="9"/>
      <c r="H818" s="9"/>
      <c r="I818" s="9"/>
      <c r="J818" s="9"/>
      <c r="K818" s="9"/>
      <c r="L818" s="9"/>
    </row>
    <row r="819" spans="3:12" x14ac:dyDescent="0.25">
      <c r="C819"/>
      <c r="E819"/>
      <c r="F819"/>
      <c r="G819" s="9"/>
      <c r="H819" s="9"/>
      <c r="I819" s="9"/>
      <c r="J819" s="9"/>
      <c r="K819" s="9"/>
      <c r="L819" s="9"/>
    </row>
    <row r="820" spans="3:12" x14ac:dyDescent="0.25">
      <c r="C820"/>
      <c r="E820"/>
      <c r="F820"/>
      <c r="G820" s="9"/>
      <c r="H820" s="9"/>
      <c r="I820" s="9"/>
      <c r="J820" s="9"/>
      <c r="K820" s="9"/>
      <c r="L820" s="9"/>
    </row>
    <row r="821" spans="3:12" x14ac:dyDescent="0.25">
      <c r="C821"/>
      <c r="E821"/>
      <c r="F821"/>
      <c r="G821" s="9"/>
      <c r="H821" s="9"/>
      <c r="I821" s="9"/>
      <c r="J821" s="9"/>
      <c r="K821" s="9"/>
      <c r="L821" s="9"/>
    </row>
    <row r="822" spans="3:12" x14ac:dyDescent="0.25">
      <c r="C822"/>
      <c r="E822"/>
      <c r="F822"/>
      <c r="G822" s="9"/>
      <c r="H822" s="9"/>
      <c r="I822" s="9"/>
      <c r="J822" s="9"/>
      <c r="K822" s="9"/>
      <c r="L822" s="9"/>
    </row>
    <row r="823" spans="3:12" x14ac:dyDescent="0.25">
      <c r="C823"/>
      <c r="E823"/>
      <c r="F823"/>
      <c r="G823" s="9"/>
      <c r="H823" s="9"/>
      <c r="I823" s="9"/>
      <c r="J823" s="9"/>
      <c r="K823" s="9"/>
      <c r="L823" s="9"/>
    </row>
    <row r="824" spans="3:12" x14ac:dyDescent="0.25">
      <c r="C824"/>
      <c r="E824"/>
      <c r="F824"/>
      <c r="G824" s="9"/>
      <c r="H824" s="9"/>
      <c r="I824" s="9"/>
      <c r="J824" s="9"/>
      <c r="K824" s="9"/>
      <c r="L824" s="9"/>
    </row>
    <row r="825" spans="3:12" x14ac:dyDescent="0.25">
      <c r="C825"/>
      <c r="E825"/>
      <c r="F825"/>
      <c r="G825" s="9"/>
      <c r="H825" s="9"/>
      <c r="I825" s="9"/>
      <c r="J825" s="9"/>
      <c r="K825" s="9"/>
      <c r="L825" s="9"/>
    </row>
    <row r="826" spans="3:12" x14ac:dyDescent="0.25">
      <c r="C826"/>
      <c r="E826"/>
      <c r="F826"/>
      <c r="G826" s="9"/>
      <c r="H826" s="9"/>
      <c r="I826" s="9"/>
      <c r="J826" s="9"/>
      <c r="K826" s="9"/>
      <c r="L826" s="9"/>
    </row>
    <row r="827" spans="3:12" x14ac:dyDescent="0.25">
      <c r="C827"/>
      <c r="E827"/>
      <c r="F827"/>
      <c r="G827" s="9"/>
      <c r="H827" s="9"/>
      <c r="I827" s="9"/>
      <c r="J827" s="9"/>
      <c r="K827" s="9"/>
      <c r="L827" s="9"/>
    </row>
    <row r="828" spans="3:12" x14ac:dyDescent="0.25">
      <c r="C828"/>
      <c r="E828"/>
      <c r="F828"/>
      <c r="G828" s="9"/>
      <c r="H828" s="9"/>
      <c r="I828" s="9"/>
      <c r="J828" s="9"/>
      <c r="K828" s="9"/>
      <c r="L828" s="9"/>
    </row>
    <row r="829" spans="3:12" x14ac:dyDescent="0.25">
      <c r="C829"/>
      <c r="E829"/>
      <c r="F829"/>
      <c r="G829" s="9"/>
      <c r="H829" s="9"/>
      <c r="I829" s="9"/>
      <c r="J829" s="9"/>
      <c r="K829" s="9"/>
      <c r="L829" s="9"/>
    </row>
    <row r="830" spans="3:12" x14ac:dyDescent="0.25">
      <c r="C830"/>
      <c r="E830"/>
      <c r="F830"/>
      <c r="G830" s="9"/>
      <c r="H830" s="9"/>
      <c r="I830" s="9"/>
      <c r="J830" s="9"/>
      <c r="K830" s="9"/>
      <c r="L830" s="9"/>
    </row>
    <row r="831" spans="3:12" x14ac:dyDescent="0.25">
      <c r="C831"/>
      <c r="E831"/>
      <c r="F831"/>
      <c r="G831" s="9"/>
      <c r="H831" s="9"/>
      <c r="I831" s="9"/>
      <c r="J831" s="9"/>
      <c r="K831" s="9"/>
      <c r="L831" s="9"/>
    </row>
    <row r="832" spans="3:12" x14ac:dyDescent="0.25">
      <c r="C832"/>
      <c r="E832"/>
      <c r="F832"/>
      <c r="G832" s="9"/>
      <c r="H832" s="9"/>
      <c r="I832" s="9"/>
      <c r="J832" s="9"/>
      <c r="K832" s="9"/>
      <c r="L832" s="9"/>
    </row>
    <row r="833" spans="3:12" x14ac:dyDescent="0.25">
      <c r="C833"/>
      <c r="E833"/>
      <c r="F833"/>
      <c r="G833" s="9"/>
      <c r="H833" s="9"/>
      <c r="I833" s="9"/>
      <c r="J833" s="9"/>
      <c r="K833" s="9"/>
      <c r="L833" s="9"/>
    </row>
    <row r="834" spans="3:12" x14ac:dyDescent="0.25">
      <c r="C834"/>
      <c r="E834"/>
      <c r="F834"/>
      <c r="G834" s="9"/>
      <c r="H834" s="9"/>
      <c r="I834" s="9"/>
      <c r="J834" s="9"/>
      <c r="K834" s="9"/>
      <c r="L834" s="9"/>
    </row>
    <row r="835" spans="3:12" x14ac:dyDescent="0.25">
      <c r="C835"/>
      <c r="E835"/>
      <c r="F835"/>
      <c r="G835" s="9"/>
      <c r="H835" s="9"/>
      <c r="I835" s="9"/>
      <c r="J835" s="9"/>
      <c r="K835" s="9"/>
      <c r="L835" s="9"/>
    </row>
    <row r="836" spans="3:12" x14ac:dyDescent="0.25">
      <c r="C836"/>
      <c r="E836"/>
      <c r="F836"/>
      <c r="G836" s="9"/>
      <c r="H836" s="9"/>
      <c r="I836" s="9"/>
      <c r="J836" s="9"/>
      <c r="K836" s="9"/>
      <c r="L836" s="9"/>
    </row>
    <row r="837" spans="3:12" x14ac:dyDescent="0.25">
      <c r="C837"/>
      <c r="E837"/>
      <c r="F837"/>
      <c r="G837" s="9"/>
      <c r="H837" s="9"/>
      <c r="I837" s="9"/>
      <c r="J837" s="9"/>
      <c r="K837" s="9"/>
      <c r="L837" s="9"/>
    </row>
    <row r="838" spans="3:12" x14ac:dyDescent="0.25">
      <c r="C838"/>
      <c r="E838"/>
      <c r="F838"/>
      <c r="G838" s="9"/>
      <c r="H838" s="9"/>
      <c r="I838" s="9"/>
      <c r="J838" s="9"/>
      <c r="K838" s="9"/>
      <c r="L838" s="9"/>
    </row>
    <row r="839" spans="3:12" x14ac:dyDescent="0.25">
      <c r="C839"/>
      <c r="E839"/>
      <c r="F839"/>
      <c r="G839" s="9"/>
      <c r="H839" s="9"/>
      <c r="I839" s="9"/>
      <c r="J839" s="9"/>
      <c r="K839" s="9"/>
      <c r="L839" s="9"/>
    </row>
    <row r="840" spans="3:12" x14ac:dyDescent="0.25">
      <c r="C840"/>
      <c r="E840"/>
      <c r="F840"/>
      <c r="G840" s="9"/>
      <c r="H840" s="9"/>
      <c r="I840" s="9"/>
      <c r="J840" s="9"/>
      <c r="K840" s="9"/>
      <c r="L840" s="9"/>
    </row>
    <row r="841" spans="3:12" x14ac:dyDescent="0.25">
      <c r="C841"/>
      <c r="E841"/>
      <c r="F841"/>
      <c r="G841" s="9"/>
      <c r="H841" s="9"/>
      <c r="I841" s="9"/>
      <c r="J841" s="9"/>
      <c r="K841" s="9"/>
      <c r="L841" s="9"/>
    </row>
    <row r="842" spans="3:12" x14ac:dyDescent="0.25">
      <c r="C842"/>
      <c r="E842"/>
      <c r="F842"/>
      <c r="G842" s="9"/>
      <c r="H842" s="9"/>
      <c r="I842" s="9"/>
      <c r="J842" s="9"/>
      <c r="K842" s="9"/>
      <c r="L842" s="9"/>
    </row>
    <row r="843" spans="3:12" x14ac:dyDescent="0.25">
      <c r="C843"/>
      <c r="E843"/>
      <c r="F843"/>
      <c r="G843" s="9"/>
      <c r="H843" s="9"/>
      <c r="I843" s="9"/>
      <c r="J843" s="9"/>
      <c r="K843" s="9"/>
      <c r="L843" s="9"/>
    </row>
    <row r="844" spans="3:12" x14ac:dyDescent="0.25">
      <c r="C844"/>
      <c r="E844"/>
      <c r="F844"/>
      <c r="G844" s="9"/>
      <c r="H844" s="9"/>
      <c r="I844" s="9"/>
      <c r="J844" s="9"/>
      <c r="K844" s="9"/>
      <c r="L844" s="9"/>
    </row>
    <row r="845" spans="3:12" x14ac:dyDescent="0.25">
      <c r="C845"/>
      <c r="E845"/>
      <c r="F845"/>
      <c r="G845" s="9"/>
      <c r="H845" s="9"/>
      <c r="I845" s="9"/>
      <c r="J845" s="9"/>
      <c r="K845" s="9"/>
      <c r="L845" s="9"/>
    </row>
    <row r="846" spans="3:12" x14ac:dyDescent="0.25">
      <c r="C846"/>
      <c r="E846"/>
      <c r="F846"/>
      <c r="G846" s="9"/>
      <c r="H846" s="9"/>
      <c r="I846" s="9"/>
      <c r="J846" s="9"/>
      <c r="K846" s="9"/>
      <c r="L846" s="9"/>
    </row>
    <row r="847" spans="3:12" x14ac:dyDescent="0.25">
      <c r="C847"/>
      <c r="E847"/>
      <c r="F847"/>
      <c r="G847" s="9"/>
      <c r="H847" s="9"/>
      <c r="I847" s="9"/>
      <c r="J847" s="9"/>
      <c r="K847" s="9"/>
      <c r="L847" s="9"/>
    </row>
    <row r="848" spans="3:12" x14ac:dyDescent="0.25">
      <c r="C848"/>
      <c r="E848"/>
      <c r="F848"/>
      <c r="G848" s="9"/>
      <c r="H848" s="9"/>
      <c r="I848" s="9"/>
      <c r="J848" s="9"/>
      <c r="K848" s="9"/>
      <c r="L848" s="9"/>
    </row>
    <row r="849" spans="3:12" x14ac:dyDescent="0.25">
      <c r="C849"/>
      <c r="E849"/>
      <c r="F849"/>
      <c r="G849" s="9"/>
      <c r="H849" s="9"/>
      <c r="I849" s="9"/>
      <c r="J849" s="9"/>
      <c r="K849" s="9"/>
      <c r="L849" s="9"/>
    </row>
    <row r="850" spans="3:12" x14ac:dyDescent="0.25">
      <c r="C850"/>
      <c r="E850"/>
      <c r="F850"/>
      <c r="G850" s="9"/>
      <c r="H850" s="9"/>
      <c r="I850" s="9"/>
      <c r="J850" s="9"/>
      <c r="K850" s="9"/>
      <c r="L850" s="9"/>
    </row>
    <row r="851" spans="3:12" x14ac:dyDescent="0.25">
      <c r="C851"/>
      <c r="E851"/>
      <c r="F851"/>
      <c r="G851" s="9"/>
      <c r="H851" s="9"/>
      <c r="I851" s="9"/>
      <c r="J851" s="9"/>
      <c r="K851" s="9"/>
      <c r="L851" s="9"/>
    </row>
    <row r="852" spans="3:12" x14ac:dyDescent="0.25">
      <c r="C852"/>
      <c r="E852"/>
      <c r="F852"/>
      <c r="G852" s="9"/>
      <c r="H852" s="9"/>
      <c r="I852" s="9"/>
      <c r="J852" s="9"/>
      <c r="K852" s="9"/>
      <c r="L852" s="9"/>
    </row>
    <row r="853" spans="3:12" x14ac:dyDescent="0.25">
      <c r="C853"/>
      <c r="E853"/>
      <c r="F853"/>
      <c r="G853" s="9"/>
      <c r="H853" s="9"/>
      <c r="I853" s="9"/>
      <c r="J853" s="9"/>
      <c r="K853" s="9"/>
      <c r="L853" s="9"/>
    </row>
    <row r="854" spans="3:12" x14ac:dyDescent="0.25">
      <c r="C854"/>
      <c r="E854"/>
      <c r="F854"/>
      <c r="G854" s="9"/>
      <c r="H854" s="9"/>
      <c r="I854" s="9"/>
      <c r="J854" s="9"/>
      <c r="K854" s="9"/>
      <c r="L854" s="9"/>
    </row>
    <row r="855" spans="3:12" x14ac:dyDescent="0.25">
      <c r="C855"/>
      <c r="E855"/>
      <c r="F855"/>
      <c r="G855" s="9"/>
      <c r="H855" s="9"/>
      <c r="I855" s="9"/>
      <c r="J855" s="9"/>
      <c r="K855" s="9"/>
      <c r="L855" s="9"/>
    </row>
    <row r="856" spans="3:12" x14ac:dyDescent="0.25">
      <c r="C856"/>
      <c r="E856"/>
      <c r="F856"/>
      <c r="G856" s="9"/>
      <c r="H856" s="9"/>
      <c r="I856" s="9"/>
      <c r="J856" s="9"/>
      <c r="K856" s="9"/>
      <c r="L856" s="9"/>
    </row>
    <row r="857" spans="3:12" x14ac:dyDescent="0.25">
      <c r="C857"/>
      <c r="E857"/>
      <c r="F857"/>
      <c r="G857" s="9"/>
      <c r="H857" s="9"/>
      <c r="I857" s="9"/>
      <c r="J857" s="9"/>
      <c r="K857" s="9"/>
      <c r="L857" s="9"/>
    </row>
    <row r="858" spans="3:12" x14ac:dyDescent="0.25">
      <c r="C858"/>
      <c r="E858"/>
      <c r="F858"/>
      <c r="G858" s="9"/>
      <c r="H858" s="9"/>
      <c r="I858" s="9"/>
      <c r="J858" s="9"/>
      <c r="K858" s="9"/>
      <c r="L858" s="9"/>
    </row>
    <row r="859" spans="3:12" x14ac:dyDescent="0.25">
      <c r="C859"/>
      <c r="E859"/>
      <c r="F859"/>
      <c r="G859" s="9"/>
      <c r="H859" s="9"/>
      <c r="I859" s="9"/>
      <c r="J859" s="9"/>
      <c r="K859" s="9"/>
      <c r="L859" s="9"/>
    </row>
    <row r="860" spans="3:12" x14ac:dyDescent="0.25">
      <c r="C860"/>
      <c r="E860"/>
      <c r="F860"/>
      <c r="G860" s="9"/>
      <c r="H860" s="9"/>
      <c r="I860" s="9"/>
      <c r="J860" s="9"/>
      <c r="K860" s="9"/>
      <c r="L860" s="9"/>
    </row>
    <row r="861" spans="3:12" x14ac:dyDescent="0.25">
      <c r="C861"/>
      <c r="E861"/>
      <c r="F861"/>
      <c r="G861" s="9"/>
      <c r="H861" s="9"/>
      <c r="I861" s="9"/>
      <c r="J861" s="9"/>
      <c r="K861" s="9"/>
      <c r="L861" s="9"/>
    </row>
    <row r="862" spans="3:12" x14ac:dyDescent="0.25">
      <c r="C862"/>
      <c r="E862"/>
      <c r="F862"/>
      <c r="G862" s="9"/>
      <c r="H862" s="9"/>
      <c r="I862" s="9"/>
      <c r="J862" s="9"/>
      <c r="K862" s="9"/>
      <c r="L862" s="9"/>
    </row>
    <row r="863" spans="3:12" x14ac:dyDescent="0.25">
      <c r="C863"/>
      <c r="E863"/>
      <c r="F863"/>
      <c r="G863" s="9"/>
      <c r="H863" s="9"/>
      <c r="I863" s="9"/>
      <c r="J863" s="9"/>
      <c r="K863" s="9"/>
      <c r="L863" s="9"/>
    </row>
    <row r="864" spans="3:12" x14ac:dyDescent="0.25">
      <c r="C864"/>
      <c r="E864"/>
      <c r="F864"/>
      <c r="G864" s="9"/>
      <c r="H864" s="9"/>
      <c r="I864" s="9"/>
      <c r="J864" s="9"/>
      <c r="K864" s="9"/>
      <c r="L864" s="9"/>
    </row>
    <row r="865" spans="3:12" x14ac:dyDescent="0.25">
      <c r="C865"/>
      <c r="E865"/>
      <c r="F865"/>
      <c r="G865" s="9"/>
      <c r="H865" s="9"/>
      <c r="I865" s="9"/>
      <c r="J865" s="9"/>
      <c r="K865" s="9"/>
      <c r="L865" s="9"/>
    </row>
    <row r="866" spans="3:12" x14ac:dyDescent="0.25">
      <c r="C866"/>
      <c r="E866"/>
      <c r="F866"/>
      <c r="G866" s="9"/>
      <c r="H866" s="9"/>
      <c r="I866" s="9"/>
      <c r="J866" s="9"/>
      <c r="K866" s="9"/>
      <c r="L866" s="9"/>
    </row>
    <row r="867" spans="3:12" x14ac:dyDescent="0.25">
      <c r="C867"/>
      <c r="E867"/>
      <c r="F867"/>
      <c r="G867" s="9"/>
      <c r="H867" s="9"/>
      <c r="I867" s="9"/>
      <c r="J867" s="9"/>
      <c r="K867" s="9"/>
      <c r="L867" s="9"/>
    </row>
    <row r="868" spans="3:12" x14ac:dyDescent="0.25">
      <c r="C868"/>
      <c r="E868"/>
      <c r="F868"/>
      <c r="G868" s="9"/>
      <c r="H868" s="9"/>
      <c r="I868" s="9"/>
      <c r="J868" s="9"/>
      <c r="K868" s="9"/>
      <c r="L868" s="9"/>
    </row>
    <row r="869" spans="3:12" x14ac:dyDescent="0.25">
      <c r="C869"/>
      <c r="E869"/>
      <c r="F869"/>
      <c r="G869" s="9"/>
      <c r="H869" s="9"/>
      <c r="I869" s="9"/>
      <c r="J869" s="9"/>
      <c r="K869" s="9"/>
      <c r="L869" s="9"/>
    </row>
    <row r="870" spans="3:12" x14ac:dyDescent="0.25">
      <c r="C870"/>
      <c r="E870"/>
      <c r="F870"/>
      <c r="G870" s="9"/>
      <c r="H870" s="9"/>
      <c r="I870" s="9"/>
      <c r="J870" s="9"/>
      <c r="K870" s="9"/>
      <c r="L870" s="9"/>
    </row>
    <row r="871" spans="3:12" x14ac:dyDescent="0.25">
      <c r="C871"/>
      <c r="E871"/>
      <c r="F871"/>
      <c r="G871" s="9"/>
      <c r="H871" s="9"/>
      <c r="I871" s="9"/>
      <c r="J871" s="9"/>
      <c r="K871" s="9"/>
      <c r="L871" s="9"/>
    </row>
    <row r="872" spans="3:12" x14ac:dyDescent="0.25">
      <c r="C872"/>
      <c r="E872"/>
      <c r="F872"/>
      <c r="G872" s="9"/>
      <c r="H872" s="9"/>
      <c r="I872" s="9"/>
      <c r="J872" s="9"/>
      <c r="K872" s="9"/>
      <c r="L872" s="9"/>
    </row>
    <row r="873" spans="3:12" x14ac:dyDescent="0.25">
      <c r="C873"/>
      <c r="E873"/>
      <c r="F873"/>
      <c r="G873" s="9"/>
      <c r="H873" s="9"/>
      <c r="I873" s="9"/>
      <c r="J873" s="9"/>
      <c r="K873" s="9"/>
      <c r="L873" s="9"/>
    </row>
    <row r="874" spans="3:12" x14ac:dyDescent="0.25">
      <c r="C874"/>
      <c r="E874"/>
      <c r="F874"/>
      <c r="G874" s="9"/>
      <c r="H874" s="9"/>
      <c r="I874" s="9"/>
      <c r="J874" s="9"/>
      <c r="K874" s="9"/>
      <c r="L874" s="9"/>
    </row>
    <row r="875" spans="3:12" x14ac:dyDescent="0.25">
      <c r="C875"/>
      <c r="E875"/>
      <c r="F875"/>
      <c r="G875" s="9"/>
      <c r="H875" s="9"/>
      <c r="I875" s="9"/>
      <c r="J875" s="9"/>
      <c r="K875" s="9"/>
      <c r="L875" s="9"/>
    </row>
    <row r="876" spans="3:12" x14ac:dyDescent="0.25">
      <c r="C876"/>
      <c r="E876"/>
      <c r="F876"/>
      <c r="G876" s="9"/>
      <c r="H876" s="9"/>
      <c r="I876" s="9"/>
      <c r="J876" s="9"/>
      <c r="K876" s="9"/>
      <c r="L876" s="9"/>
    </row>
    <row r="877" spans="3:12" x14ac:dyDescent="0.25">
      <c r="C877"/>
      <c r="E877"/>
      <c r="F877"/>
      <c r="G877" s="9"/>
      <c r="H877" s="9"/>
      <c r="I877" s="9"/>
      <c r="J877" s="9"/>
      <c r="K877" s="9"/>
      <c r="L877" s="9"/>
    </row>
    <row r="878" spans="3:12" x14ac:dyDescent="0.25">
      <c r="C878"/>
      <c r="E878"/>
      <c r="F878"/>
      <c r="G878" s="9"/>
      <c r="H878" s="9"/>
      <c r="I878" s="9"/>
      <c r="J878" s="9"/>
      <c r="K878" s="9"/>
      <c r="L878" s="9"/>
    </row>
    <row r="879" spans="3:12" x14ac:dyDescent="0.25">
      <c r="C879"/>
      <c r="E879"/>
      <c r="F879"/>
      <c r="G879" s="9"/>
      <c r="H879" s="9"/>
      <c r="I879" s="9"/>
      <c r="J879" s="9"/>
      <c r="K879" s="9"/>
      <c r="L879" s="9"/>
    </row>
    <row r="880" spans="3:12" x14ac:dyDescent="0.25">
      <c r="C880"/>
      <c r="E880"/>
      <c r="F880"/>
      <c r="G880" s="9"/>
      <c r="H880" s="9"/>
      <c r="I880" s="9"/>
      <c r="J880" s="9"/>
      <c r="K880" s="9"/>
      <c r="L880" s="9"/>
    </row>
    <row r="881" spans="3:12" x14ac:dyDescent="0.25">
      <c r="C881"/>
      <c r="E881"/>
      <c r="F881"/>
      <c r="G881" s="9"/>
      <c r="H881" s="9"/>
      <c r="I881" s="9"/>
      <c r="J881" s="9"/>
      <c r="K881" s="9"/>
      <c r="L881" s="9"/>
    </row>
    <row r="882" spans="3:12" x14ac:dyDescent="0.25">
      <c r="C882"/>
      <c r="E882"/>
      <c r="F882"/>
      <c r="G882" s="9"/>
      <c r="H882" s="9"/>
      <c r="I882" s="9"/>
      <c r="J882" s="9"/>
      <c r="K882" s="9"/>
      <c r="L882" s="9"/>
    </row>
    <row r="883" spans="3:12" x14ac:dyDescent="0.25">
      <c r="C883"/>
      <c r="E883"/>
      <c r="F883"/>
      <c r="G883" s="9"/>
      <c r="H883" s="9"/>
      <c r="I883" s="9"/>
      <c r="J883" s="9"/>
      <c r="K883" s="9"/>
      <c r="L883" s="9"/>
    </row>
    <row r="884" spans="3:12" x14ac:dyDescent="0.25">
      <c r="C884"/>
      <c r="E884"/>
      <c r="F884"/>
      <c r="G884" s="9"/>
      <c r="H884" s="9"/>
      <c r="I884" s="9"/>
      <c r="J884" s="9"/>
      <c r="K884" s="9"/>
      <c r="L884" s="9"/>
    </row>
    <row r="885" spans="3:12" x14ac:dyDescent="0.25">
      <c r="C885"/>
      <c r="E885"/>
      <c r="F885"/>
      <c r="G885" s="9"/>
      <c r="H885" s="9"/>
      <c r="I885" s="9"/>
      <c r="J885" s="9"/>
      <c r="K885" s="9"/>
      <c r="L885" s="9"/>
    </row>
    <row r="886" spans="3:12" x14ac:dyDescent="0.25">
      <c r="C886"/>
      <c r="E886"/>
      <c r="F886"/>
      <c r="G886" s="9"/>
      <c r="H886" s="9"/>
      <c r="I886" s="9"/>
      <c r="J886" s="9"/>
      <c r="K886" s="9"/>
      <c r="L886" s="9"/>
    </row>
    <row r="887" spans="3:12" x14ac:dyDescent="0.25">
      <c r="C887"/>
      <c r="E887"/>
      <c r="F887"/>
      <c r="G887" s="9"/>
      <c r="H887" s="9"/>
      <c r="I887" s="9"/>
      <c r="J887" s="9"/>
      <c r="K887" s="9"/>
      <c r="L887" s="9"/>
    </row>
    <row r="888" spans="3:12" x14ac:dyDescent="0.25">
      <c r="C888"/>
      <c r="E888"/>
      <c r="F888"/>
      <c r="G888" s="9"/>
      <c r="H888" s="9"/>
      <c r="I888" s="9"/>
      <c r="J888" s="9"/>
      <c r="K888" s="9"/>
      <c r="L888" s="9"/>
    </row>
    <row r="889" spans="3:12" x14ac:dyDescent="0.25">
      <c r="C889"/>
      <c r="E889"/>
      <c r="F889"/>
      <c r="G889" s="9"/>
      <c r="H889" s="9"/>
      <c r="I889" s="9"/>
      <c r="J889" s="9"/>
      <c r="K889" s="9"/>
      <c r="L889" s="9"/>
    </row>
    <row r="890" spans="3:12" x14ac:dyDescent="0.25">
      <c r="C890"/>
      <c r="E890"/>
      <c r="F890"/>
      <c r="G890" s="9"/>
      <c r="H890" s="9"/>
      <c r="I890" s="9"/>
      <c r="J890" s="9"/>
      <c r="K890" s="9"/>
      <c r="L890" s="9"/>
    </row>
    <row r="891" spans="3:12" x14ac:dyDescent="0.25">
      <c r="C891"/>
      <c r="E891"/>
      <c r="F891"/>
      <c r="G891" s="9"/>
      <c r="H891" s="9"/>
      <c r="I891" s="9"/>
      <c r="J891" s="9"/>
      <c r="K891" s="9"/>
      <c r="L891" s="9"/>
    </row>
    <row r="892" spans="3:12" x14ac:dyDescent="0.25">
      <c r="C892"/>
      <c r="E892"/>
      <c r="F892"/>
      <c r="G892" s="9"/>
      <c r="H892" s="9"/>
      <c r="I892" s="9"/>
      <c r="J892" s="9"/>
      <c r="K892" s="9"/>
      <c r="L892" s="9"/>
    </row>
    <row r="893" spans="3:12" x14ac:dyDescent="0.25">
      <c r="C893"/>
      <c r="E893"/>
      <c r="F893"/>
      <c r="G893" s="9"/>
      <c r="H893" s="9"/>
      <c r="I893" s="9"/>
      <c r="J893" s="9"/>
      <c r="K893" s="9"/>
      <c r="L893" s="9"/>
    </row>
    <row r="894" spans="3:12" x14ac:dyDescent="0.25">
      <c r="C894"/>
      <c r="E894"/>
      <c r="F894"/>
      <c r="G894" s="9"/>
      <c r="H894" s="9"/>
      <c r="I894" s="9"/>
      <c r="J894" s="9"/>
      <c r="K894" s="9"/>
      <c r="L894" s="9"/>
    </row>
    <row r="895" spans="3:12" x14ac:dyDescent="0.25">
      <c r="C895"/>
      <c r="E895"/>
      <c r="F895"/>
      <c r="G895" s="9"/>
      <c r="H895" s="9"/>
      <c r="I895" s="9"/>
      <c r="J895" s="9"/>
      <c r="K895" s="9"/>
      <c r="L895" s="9"/>
    </row>
    <row r="896" spans="3:12" x14ac:dyDescent="0.25">
      <c r="C896"/>
      <c r="E896"/>
      <c r="F896"/>
      <c r="G896" s="9"/>
      <c r="H896" s="9"/>
      <c r="I896" s="9"/>
      <c r="J896" s="9"/>
      <c r="K896" s="9"/>
      <c r="L896" s="9"/>
    </row>
    <row r="897" spans="3:12" x14ac:dyDescent="0.25">
      <c r="C897"/>
      <c r="E897"/>
      <c r="F897"/>
      <c r="G897" s="9"/>
      <c r="H897" s="9"/>
      <c r="I897" s="9"/>
      <c r="J897" s="9"/>
      <c r="K897" s="9"/>
      <c r="L897" s="9"/>
    </row>
    <row r="898" spans="3:12" x14ac:dyDescent="0.25">
      <c r="C898"/>
      <c r="E898"/>
      <c r="F898"/>
      <c r="G898" s="9"/>
      <c r="H898" s="9"/>
      <c r="I898" s="9"/>
      <c r="J898" s="9"/>
      <c r="K898" s="9"/>
      <c r="L898" s="9"/>
    </row>
    <row r="899" spans="3:12" x14ac:dyDescent="0.25">
      <c r="C899"/>
      <c r="E899"/>
      <c r="F899"/>
      <c r="G899" s="9"/>
      <c r="H899" s="9"/>
      <c r="I899" s="9"/>
      <c r="J899" s="9"/>
      <c r="K899" s="9"/>
      <c r="L899" s="9"/>
    </row>
    <row r="900" spans="3:12" x14ac:dyDescent="0.25">
      <c r="C900"/>
      <c r="E900"/>
      <c r="F900"/>
      <c r="G900" s="9"/>
      <c r="H900" s="9"/>
      <c r="I900" s="9"/>
      <c r="J900" s="9"/>
      <c r="K900" s="9"/>
      <c r="L900" s="9"/>
    </row>
    <row r="901" spans="3:12" x14ac:dyDescent="0.25">
      <c r="C901"/>
      <c r="E901"/>
      <c r="F901"/>
      <c r="G901" s="9"/>
      <c r="H901" s="9"/>
      <c r="I901" s="9"/>
      <c r="J901" s="9"/>
      <c r="K901" s="9"/>
      <c r="L901" s="9"/>
    </row>
    <row r="902" spans="3:12" x14ac:dyDescent="0.25">
      <c r="C902"/>
      <c r="E902"/>
      <c r="F902"/>
      <c r="G902" s="9"/>
      <c r="H902" s="9"/>
      <c r="I902" s="9"/>
      <c r="J902" s="9"/>
      <c r="K902" s="9"/>
      <c r="L902" s="9"/>
    </row>
    <row r="903" spans="3:12" x14ac:dyDescent="0.25">
      <c r="C903"/>
      <c r="E903"/>
      <c r="F903"/>
      <c r="G903" s="9"/>
      <c r="H903" s="9"/>
      <c r="I903" s="9"/>
      <c r="J903" s="9"/>
      <c r="K903" s="9"/>
      <c r="L903" s="9"/>
    </row>
    <row r="904" spans="3:12" x14ac:dyDescent="0.25">
      <c r="C904"/>
      <c r="E904"/>
      <c r="F904"/>
      <c r="G904" s="9"/>
      <c r="H904" s="9"/>
      <c r="I904" s="9"/>
      <c r="J904" s="9"/>
      <c r="K904" s="9"/>
      <c r="L904" s="9"/>
    </row>
    <row r="905" spans="3:12" x14ac:dyDescent="0.25">
      <c r="C905"/>
      <c r="E905"/>
      <c r="F905"/>
      <c r="G905" s="9"/>
      <c r="H905" s="9"/>
      <c r="I905" s="9"/>
      <c r="J905" s="9"/>
      <c r="K905" s="9"/>
      <c r="L905" s="9"/>
    </row>
    <row r="906" spans="3:12" x14ac:dyDescent="0.25">
      <c r="C906"/>
      <c r="E906"/>
      <c r="F906"/>
      <c r="G906" s="9"/>
      <c r="H906" s="9"/>
      <c r="I906" s="9"/>
      <c r="J906" s="9"/>
      <c r="K906" s="9"/>
      <c r="L906" s="9"/>
    </row>
    <row r="907" spans="3:12" x14ac:dyDescent="0.25">
      <c r="C907"/>
      <c r="E907"/>
      <c r="F907"/>
      <c r="G907" s="9"/>
      <c r="H907" s="9"/>
      <c r="I907" s="9"/>
      <c r="J907" s="9"/>
      <c r="K907" s="9"/>
      <c r="L907" s="9"/>
    </row>
    <row r="908" spans="3:12" x14ac:dyDescent="0.25">
      <c r="C908"/>
      <c r="E908"/>
      <c r="F908"/>
      <c r="G908" s="9"/>
      <c r="H908" s="9"/>
      <c r="I908" s="9"/>
      <c r="J908" s="9"/>
      <c r="K908" s="9"/>
      <c r="L908" s="9"/>
    </row>
    <row r="909" spans="3:12" x14ac:dyDescent="0.25">
      <c r="C909"/>
      <c r="E909"/>
      <c r="F909"/>
      <c r="G909" s="9"/>
      <c r="H909" s="9"/>
      <c r="I909" s="9"/>
      <c r="J909" s="9"/>
      <c r="K909" s="9"/>
      <c r="L909" s="9"/>
    </row>
    <row r="910" spans="3:12" x14ac:dyDescent="0.25">
      <c r="C910"/>
      <c r="E910"/>
      <c r="F910"/>
      <c r="G910" s="9"/>
      <c r="H910" s="9"/>
      <c r="I910" s="9"/>
      <c r="J910" s="9"/>
      <c r="K910" s="9"/>
      <c r="L910" s="9"/>
    </row>
    <row r="911" spans="3:12" x14ac:dyDescent="0.25">
      <c r="C911"/>
      <c r="E911"/>
      <c r="F911"/>
      <c r="G911" s="9"/>
      <c r="H911" s="9"/>
      <c r="I911" s="9"/>
      <c r="J911" s="9"/>
      <c r="K911" s="9"/>
      <c r="L911" s="9"/>
    </row>
    <row r="912" spans="3:12" x14ac:dyDescent="0.25">
      <c r="C912"/>
      <c r="E912"/>
      <c r="F912"/>
      <c r="G912" s="9"/>
      <c r="H912" s="9"/>
      <c r="I912" s="9"/>
      <c r="J912" s="9"/>
      <c r="K912" s="9"/>
      <c r="L912" s="9"/>
    </row>
    <row r="913" spans="3:12" x14ac:dyDescent="0.25">
      <c r="C913"/>
      <c r="E913"/>
      <c r="F913"/>
      <c r="G913" s="9"/>
      <c r="H913" s="9"/>
      <c r="I913" s="9"/>
      <c r="J913" s="9"/>
      <c r="K913" s="9"/>
      <c r="L913" s="9"/>
    </row>
    <row r="914" spans="3:12" x14ac:dyDescent="0.25">
      <c r="C914"/>
      <c r="E914"/>
      <c r="F914"/>
      <c r="G914" s="9"/>
      <c r="H914" s="9"/>
      <c r="I914" s="9"/>
      <c r="J914" s="9"/>
      <c r="K914" s="9"/>
      <c r="L914" s="9"/>
    </row>
    <row r="915" spans="3:12" x14ac:dyDescent="0.25">
      <c r="C915"/>
      <c r="E915"/>
      <c r="F915"/>
      <c r="G915" s="9"/>
      <c r="H915" s="9"/>
      <c r="I915" s="9"/>
      <c r="J915" s="9"/>
      <c r="K915" s="9"/>
      <c r="L915" s="9"/>
    </row>
    <row r="916" spans="3:12" x14ac:dyDescent="0.25">
      <c r="C916"/>
      <c r="E916"/>
      <c r="F916"/>
      <c r="G916" s="9"/>
      <c r="H916" s="9"/>
      <c r="I916" s="9"/>
      <c r="J916" s="9"/>
      <c r="K916" s="9"/>
      <c r="L916" s="9"/>
    </row>
    <row r="917" spans="3:12" x14ac:dyDescent="0.25">
      <c r="C917"/>
      <c r="E917"/>
      <c r="F917"/>
      <c r="G917" s="9"/>
      <c r="H917" s="9"/>
      <c r="I917" s="9"/>
      <c r="J917" s="9"/>
      <c r="K917" s="9"/>
      <c r="L917" s="9"/>
    </row>
    <row r="918" spans="3:12" x14ac:dyDescent="0.25">
      <c r="C918"/>
      <c r="E918"/>
      <c r="F918"/>
      <c r="G918" s="9"/>
      <c r="H918" s="9"/>
      <c r="I918" s="9"/>
      <c r="J918" s="9"/>
      <c r="K918" s="9"/>
      <c r="L918" s="9"/>
    </row>
    <row r="919" spans="3:12" x14ac:dyDescent="0.25">
      <c r="C919"/>
      <c r="E919"/>
      <c r="F919"/>
      <c r="G919" s="9"/>
      <c r="H919" s="9"/>
      <c r="I919" s="9"/>
      <c r="J919" s="9"/>
      <c r="K919" s="9"/>
      <c r="L919" s="9"/>
    </row>
    <row r="920" spans="3:12" x14ac:dyDescent="0.25">
      <c r="C920"/>
      <c r="E920"/>
      <c r="F920"/>
      <c r="G920" s="9"/>
      <c r="H920" s="9"/>
      <c r="I920" s="9"/>
      <c r="J920" s="9"/>
      <c r="K920" s="9"/>
      <c r="L920" s="9"/>
    </row>
    <row r="921" spans="3:12" x14ac:dyDescent="0.25">
      <c r="C921"/>
      <c r="E921"/>
      <c r="F921"/>
      <c r="G921" s="9"/>
      <c r="H921" s="9"/>
      <c r="I921" s="9"/>
      <c r="J921" s="9"/>
      <c r="K921" s="9"/>
      <c r="L921" s="9"/>
    </row>
    <row r="922" spans="3:12" x14ac:dyDescent="0.25">
      <c r="C922"/>
      <c r="E922"/>
      <c r="F922"/>
      <c r="G922" s="9"/>
      <c r="H922" s="9"/>
      <c r="I922" s="9"/>
      <c r="J922" s="9"/>
      <c r="K922" s="9"/>
      <c r="L922" s="9"/>
    </row>
    <row r="923" spans="3:12" x14ac:dyDescent="0.25">
      <c r="C923"/>
      <c r="E923"/>
      <c r="F923"/>
      <c r="G923" s="9"/>
      <c r="H923" s="9"/>
      <c r="I923" s="9"/>
      <c r="J923" s="9"/>
      <c r="K923" s="9"/>
      <c r="L923" s="9"/>
    </row>
    <row r="924" spans="3:12" x14ac:dyDescent="0.25">
      <c r="C924"/>
      <c r="E924"/>
      <c r="F924"/>
      <c r="G924" s="9"/>
      <c r="H924" s="9"/>
      <c r="I924" s="9"/>
      <c r="J924" s="9"/>
      <c r="K924" s="9"/>
      <c r="L924" s="9"/>
    </row>
    <row r="925" spans="3:12" x14ac:dyDescent="0.25">
      <c r="C925"/>
      <c r="E925"/>
      <c r="F925"/>
      <c r="G925" s="9"/>
      <c r="H925" s="9"/>
      <c r="I925" s="9"/>
      <c r="J925" s="9"/>
      <c r="K925" s="9"/>
      <c r="L925" s="9"/>
    </row>
    <row r="926" spans="3:12" x14ac:dyDescent="0.25">
      <c r="C926"/>
      <c r="E926"/>
      <c r="F926"/>
      <c r="G926" s="9"/>
      <c r="H926" s="9"/>
      <c r="I926" s="9"/>
      <c r="J926" s="9"/>
      <c r="K926" s="9"/>
      <c r="L926" s="9"/>
    </row>
    <row r="927" spans="3:12" x14ac:dyDescent="0.25">
      <c r="C927"/>
      <c r="E927"/>
      <c r="F927"/>
      <c r="G927" s="9"/>
      <c r="H927" s="9"/>
      <c r="I927" s="9"/>
      <c r="J927" s="9"/>
      <c r="K927" s="9"/>
      <c r="L927" s="9"/>
    </row>
    <row r="928" spans="3:12" x14ac:dyDescent="0.25">
      <c r="C928"/>
      <c r="E928"/>
      <c r="F928"/>
      <c r="G928" s="9"/>
      <c r="H928" s="9"/>
      <c r="I928" s="9"/>
      <c r="J928" s="9"/>
      <c r="K928" s="9"/>
      <c r="L928" s="9"/>
    </row>
    <row r="929" spans="3:12" x14ac:dyDescent="0.25">
      <c r="C929"/>
      <c r="E929"/>
      <c r="F929"/>
      <c r="G929" s="9"/>
      <c r="H929" s="9"/>
      <c r="I929" s="9"/>
      <c r="J929" s="9"/>
      <c r="K929" s="9"/>
      <c r="L929" s="9"/>
    </row>
    <row r="930" spans="3:12" x14ac:dyDescent="0.25">
      <c r="C930"/>
      <c r="E930"/>
      <c r="F930"/>
      <c r="G930" s="9"/>
      <c r="H930" s="9"/>
      <c r="I930" s="9"/>
      <c r="J930" s="9"/>
      <c r="K930" s="9"/>
      <c r="L930" s="9"/>
    </row>
    <row r="931" spans="3:12" x14ac:dyDescent="0.25">
      <c r="C931"/>
      <c r="E931"/>
      <c r="F931"/>
      <c r="G931" s="9"/>
      <c r="H931" s="9"/>
      <c r="I931" s="9"/>
      <c r="J931" s="9"/>
      <c r="K931" s="9"/>
      <c r="L931" s="9"/>
    </row>
    <row r="932" spans="3:12" x14ac:dyDescent="0.25">
      <c r="C932"/>
      <c r="E932"/>
      <c r="F932"/>
      <c r="G932" s="9"/>
      <c r="H932" s="9"/>
      <c r="I932" s="9"/>
      <c r="J932" s="9"/>
      <c r="K932" s="9"/>
      <c r="L932" s="9"/>
    </row>
    <row r="933" spans="3:12" x14ac:dyDescent="0.25">
      <c r="C933"/>
      <c r="E933"/>
      <c r="F933"/>
      <c r="G933" s="9"/>
      <c r="H933" s="9"/>
      <c r="I933" s="9"/>
      <c r="J933" s="9"/>
      <c r="K933" s="9"/>
      <c r="L933" s="9"/>
    </row>
    <row r="934" spans="3:12" x14ac:dyDescent="0.25">
      <c r="C934"/>
      <c r="E934"/>
      <c r="F934"/>
      <c r="G934" s="9"/>
      <c r="H934" s="9"/>
      <c r="I934" s="9"/>
      <c r="J934" s="9"/>
      <c r="K934" s="9"/>
      <c r="L934" s="9"/>
    </row>
    <row r="935" spans="3:12" x14ac:dyDescent="0.25">
      <c r="C935"/>
      <c r="E935"/>
      <c r="F935"/>
      <c r="G935" s="9"/>
      <c r="H935" s="9"/>
      <c r="I935" s="9"/>
      <c r="J935" s="9"/>
      <c r="K935" s="9"/>
      <c r="L935" s="9"/>
    </row>
    <row r="936" spans="3:12" x14ac:dyDescent="0.25">
      <c r="C936"/>
      <c r="E936"/>
      <c r="F936"/>
      <c r="G936" s="9"/>
      <c r="H936" s="9"/>
      <c r="I936" s="9"/>
      <c r="J936" s="9"/>
      <c r="K936" s="9"/>
      <c r="L936" s="9"/>
    </row>
    <row r="937" spans="3:12" x14ac:dyDescent="0.25">
      <c r="C937"/>
      <c r="E937"/>
      <c r="F937"/>
      <c r="G937" s="9"/>
      <c r="H937" s="9"/>
      <c r="I937" s="9"/>
      <c r="J937" s="9"/>
      <c r="K937" s="9"/>
      <c r="L937" s="9"/>
    </row>
    <row r="938" spans="3:12" x14ac:dyDescent="0.25">
      <c r="C938"/>
      <c r="E938"/>
      <c r="F938"/>
      <c r="G938" s="9"/>
      <c r="H938" s="9"/>
      <c r="I938" s="9"/>
      <c r="J938" s="9"/>
      <c r="K938" s="9"/>
      <c r="L938" s="9"/>
    </row>
    <row r="939" spans="3:12" x14ac:dyDescent="0.25">
      <c r="C939"/>
      <c r="E939"/>
      <c r="F939"/>
      <c r="G939" s="9"/>
      <c r="H939" s="9"/>
      <c r="I939" s="9"/>
      <c r="J939" s="9"/>
      <c r="K939" s="9"/>
      <c r="L939" s="9"/>
    </row>
    <row r="940" spans="3:12" x14ac:dyDescent="0.25">
      <c r="C940"/>
      <c r="E940"/>
      <c r="F940"/>
      <c r="G940" s="9"/>
      <c r="H940" s="9"/>
      <c r="I940" s="9"/>
      <c r="J940" s="9"/>
      <c r="K940" s="9"/>
      <c r="L940" s="9"/>
    </row>
    <row r="941" spans="3:12" x14ac:dyDescent="0.25">
      <c r="C941"/>
      <c r="E941"/>
      <c r="F941"/>
      <c r="G941" s="9"/>
      <c r="H941" s="9"/>
      <c r="I941" s="9"/>
      <c r="J941" s="9"/>
      <c r="K941" s="9"/>
      <c r="L941" s="9"/>
    </row>
    <row r="942" spans="3:12" x14ac:dyDescent="0.25">
      <c r="C942"/>
      <c r="E942"/>
      <c r="F942"/>
      <c r="G942" s="9"/>
      <c r="H942" s="9"/>
      <c r="I942" s="9"/>
      <c r="J942" s="9"/>
      <c r="K942" s="9"/>
      <c r="L942" s="9"/>
    </row>
    <row r="943" spans="3:12" x14ac:dyDescent="0.25">
      <c r="C943"/>
      <c r="E943"/>
      <c r="F943"/>
      <c r="G943" s="9"/>
      <c r="H943" s="9"/>
      <c r="I943" s="9"/>
      <c r="J943" s="9"/>
      <c r="K943" s="9"/>
      <c r="L943" s="9"/>
    </row>
    <row r="944" spans="3:12" x14ac:dyDescent="0.25">
      <c r="C944"/>
      <c r="E944"/>
      <c r="F944"/>
      <c r="G944" s="9"/>
      <c r="H944" s="9"/>
      <c r="I944" s="9"/>
      <c r="J944" s="9"/>
      <c r="K944" s="9"/>
      <c r="L944" s="9"/>
    </row>
    <row r="945" spans="3:12" x14ac:dyDescent="0.25">
      <c r="C945"/>
      <c r="E945"/>
      <c r="F945"/>
      <c r="G945" s="9"/>
      <c r="H945" s="9"/>
      <c r="I945" s="9"/>
      <c r="J945" s="9"/>
      <c r="K945" s="9"/>
      <c r="L945" s="9"/>
    </row>
    <row r="946" spans="3:12" x14ac:dyDescent="0.25">
      <c r="C946"/>
      <c r="E946"/>
      <c r="F946"/>
      <c r="G946" s="9"/>
      <c r="H946" s="9"/>
      <c r="I946" s="9"/>
      <c r="J946" s="9"/>
      <c r="K946" s="9"/>
      <c r="L946" s="9"/>
    </row>
    <row r="947" spans="3:12" x14ac:dyDescent="0.25">
      <c r="C947"/>
      <c r="E947"/>
      <c r="F947"/>
      <c r="G947" s="9"/>
      <c r="H947" s="9"/>
      <c r="I947" s="9"/>
      <c r="J947" s="9"/>
      <c r="K947" s="9"/>
      <c r="L947" s="9"/>
    </row>
    <row r="948" spans="3:12" x14ac:dyDescent="0.25">
      <c r="C948"/>
      <c r="E948"/>
      <c r="F948"/>
      <c r="G948" s="9"/>
      <c r="H948" s="9"/>
      <c r="I948" s="9"/>
      <c r="J948" s="9"/>
      <c r="K948" s="9"/>
      <c r="L948" s="9"/>
    </row>
    <row r="949" spans="3:12" x14ac:dyDescent="0.25">
      <c r="C949"/>
      <c r="E949"/>
      <c r="F949"/>
      <c r="G949" s="9"/>
      <c r="H949" s="9"/>
      <c r="I949" s="9"/>
      <c r="J949" s="9"/>
      <c r="K949" s="9"/>
      <c r="L949" s="9"/>
    </row>
    <row r="950" spans="3:12" x14ac:dyDescent="0.25">
      <c r="C950"/>
      <c r="E950"/>
      <c r="F950"/>
      <c r="G950" s="9"/>
      <c r="H950" s="9"/>
      <c r="I950" s="9"/>
      <c r="J950" s="9"/>
      <c r="K950" s="9"/>
      <c r="L950" s="9"/>
    </row>
    <row r="951" spans="3:12" x14ac:dyDescent="0.25">
      <c r="C951"/>
      <c r="E951"/>
      <c r="F951"/>
      <c r="G951" s="9"/>
      <c r="H951" s="9"/>
      <c r="I951" s="9"/>
      <c r="J951" s="9"/>
      <c r="K951" s="9"/>
      <c r="L951" s="9"/>
    </row>
    <row r="952" spans="3:12" x14ac:dyDescent="0.25">
      <c r="C952"/>
      <c r="E952"/>
      <c r="F952"/>
      <c r="G952" s="9"/>
      <c r="H952" s="9"/>
      <c r="I952" s="9"/>
      <c r="J952" s="9"/>
      <c r="K952" s="9"/>
      <c r="L952" s="9"/>
    </row>
    <row r="953" spans="3:12" x14ac:dyDescent="0.25">
      <c r="C953"/>
      <c r="E953"/>
      <c r="F953"/>
      <c r="G953" s="9"/>
      <c r="H953" s="9"/>
      <c r="I953" s="9"/>
      <c r="J953" s="9"/>
      <c r="K953" s="9"/>
      <c r="L953" s="9"/>
    </row>
    <row r="954" spans="3:12" x14ac:dyDescent="0.25">
      <c r="C954"/>
      <c r="E954"/>
      <c r="F954"/>
      <c r="G954" s="9"/>
      <c r="H954" s="9"/>
      <c r="I954" s="9"/>
      <c r="J954" s="9"/>
      <c r="K954" s="9"/>
      <c r="L954" s="9"/>
    </row>
    <row r="955" spans="3:12" x14ac:dyDescent="0.25">
      <c r="C955"/>
      <c r="E955"/>
      <c r="F955"/>
      <c r="G955" s="9"/>
      <c r="H955" s="9"/>
      <c r="I955" s="9"/>
      <c r="J955" s="9"/>
      <c r="K955" s="9"/>
      <c r="L955" s="9"/>
    </row>
    <row r="956" spans="3:12" x14ac:dyDescent="0.25">
      <c r="C956"/>
      <c r="E956"/>
      <c r="F956"/>
      <c r="G956" s="9"/>
      <c r="H956" s="9"/>
      <c r="I956" s="9"/>
      <c r="J956" s="9"/>
      <c r="K956" s="9"/>
      <c r="L956" s="9"/>
    </row>
    <row r="957" spans="3:12" x14ac:dyDescent="0.25">
      <c r="C957"/>
      <c r="E957"/>
      <c r="F957"/>
      <c r="G957" s="9"/>
      <c r="H957" s="9"/>
      <c r="I957" s="9"/>
      <c r="J957" s="9"/>
      <c r="K957" s="9"/>
      <c r="L957" s="9"/>
    </row>
    <row r="958" spans="3:12" x14ac:dyDescent="0.25">
      <c r="C958"/>
      <c r="E958"/>
      <c r="F958"/>
      <c r="G958" s="9"/>
      <c r="H958" s="9"/>
      <c r="I958" s="9"/>
      <c r="J958" s="9"/>
      <c r="K958" s="9"/>
      <c r="L958" s="9"/>
    </row>
    <row r="959" spans="3:12" x14ac:dyDescent="0.25">
      <c r="C959"/>
      <c r="E959"/>
      <c r="F959"/>
      <c r="G959" s="9"/>
      <c r="H959" s="9"/>
      <c r="I959" s="9"/>
      <c r="J959" s="9"/>
      <c r="K959" s="9"/>
      <c r="L959" s="9"/>
    </row>
    <row r="960" spans="3:12" x14ac:dyDescent="0.25">
      <c r="C960"/>
      <c r="E960"/>
      <c r="F960"/>
      <c r="G960" s="9"/>
      <c r="H960" s="9"/>
      <c r="I960" s="9"/>
      <c r="J960" s="9"/>
      <c r="K960" s="9"/>
      <c r="L960" s="9"/>
    </row>
    <row r="961" spans="3:12" x14ac:dyDescent="0.25">
      <c r="C961"/>
      <c r="E961"/>
      <c r="F961"/>
      <c r="G961" s="9"/>
      <c r="H961" s="9"/>
      <c r="I961" s="9"/>
      <c r="J961" s="9"/>
      <c r="K961" s="9"/>
      <c r="L961" s="9"/>
    </row>
    <row r="962" spans="3:12" x14ac:dyDescent="0.25">
      <c r="C962"/>
      <c r="E962"/>
      <c r="F962"/>
      <c r="G962" s="9"/>
      <c r="H962" s="9"/>
      <c r="I962" s="9"/>
      <c r="J962" s="9"/>
      <c r="K962" s="9"/>
      <c r="L962" s="9"/>
    </row>
    <row r="963" spans="3:12" x14ac:dyDescent="0.25">
      <c r="C963"/>
      <c r="E963"/>
      <c r="F963"/>
      <c r="G963" s="9"/>
      <c r="H963" s="9"/>
      <c r="I963" s="9"/>
      <c r="J963" s="9"/>
      <c r="K963" s="9"/>
      <c r="L963" s="9"/>
    </row>
    <row r="964" spans="3:12" x14ac:dyDescent="0.25">
      <c r="C964"/>
      <c r="E964"/>
      <c r="F964"/>
      <c r="G964" s="9"/>
      <c r="H964" s="9"/>
      <c r="I964" s="9"/>
      <c r="J964" s="9"/>
      <c r="K964" s="9"/>
      <c r="L964" s="9"/>
    </row>
    <row r="965" spans="3:12" x14ac:dyDescent="0.25">
      <c r="C965"/>
      <c r="E965"/>
      <c r="F965"/>
      <c r="G965" s="9"/>
      <c r="H965" s="9"/>
      <c r="I965" s="9"/>
      <c r="J965" s="9"/>
      <c r="K965" s="9"/>
      <c r="L965" s="9"/>
    </row>
    <row r="966" spans="3:12" x14ac:dyDescent="0.25">
      <c r="C966"/>
      <c r="E966"/>
      <c r="F966"/>
      <c r="G966" s="9"/>
      <c r="H966" s="9"/>
      <c r="I966" s="9"/>
      <c r="J966" s="9"/>
      <c r="K966" s="9"/>
      <c r="L966" s="9"/>
    </row>
    <row r="967" spans="3:12" x14ac:dyDescent="0.25">
      <c r="C967"/>
      <c r="E967"/>
      <c r="F967"/>
      <c r="G967" s="9"/>
      <c r="H967" s="9"/>
      <c r="I967" s="9"/>
      <c r="J967" s="9"/>
      <c r="K967" s="9"/>
      <c r="L967" s="9"/>
    </row>
    <row r="968" spans="3:12" x14ac:dyDescent="0.25">
      <c r="C968"/>
      <c r="E968"/>
      <c r="F968"/>
      <c r="G968" s="9"/>
      <c r="H968" s="9"/>
      <c r="I968" s="9"/>
      <c r="J968" s="9"/>
      <c r="K968" s="9"/>
      <c r="L968" s="9"/>
    </row>
    <row r="969" spans="3:12" x14ac:dyDescent="0.25">
      <c r="C969"/>
      <c r="E969"/>
      <c r="F969"/>
      <c r="G969" s="9"/>
      <c r="H969" s="9"/>
      <c r="I969" s="9"/>
      <c r="J969" s="9"/>
      <c r="K969" s="9"/>
      <c r="L969" s="9"/>
    </row>
    <row r="970" spans="3:12" x14ac:dyDescent="0.25">
      <c r="C970"/>
      <c r="E970"/>
      <c r="F970"/>
      <c r="G970" s="9"/>
      <c r="H970" s="9"/>
      <c r="I970" s="9"/>
      <c r="J970" s="9"/>
      <c r="K970" s="9"/>
      <c r="L970" s="9"/>
    </row>
    <row r="971" spans="3:12" x14ac:dyDescent="0.25">
      <c r="C971"/>
      <c r="E971"/>
      <c r="F971"/>
      <c r="G971" s="9"/>
      <c r="H971" s="9"/>
      <c r="I971" s="9"/>
      <c r="J971" s="9"/>
      <c r="K971" s="9"/>
      <c r="L971" s="9"/>
    </row>
    <row r="972" spans="3:12" x14ac:dyDescent="0.25">
      <c r="C972"/>
      <c r="E972"/>
      <c r="F972"/>
      <c r="G972" s="9"/>
      <c r="H972" s="9"/>
      <c r="I972" s="9"/>
      <c r="J972" s="9"/>
      <c r="K972" s="9"/>
      <c r="L972" s="9"/>
    </row>
    <row r="973" spans="3:12" x14ac:dyDescent="0.25">
      <c r="C973"/>
      <c r="E973"/>
      <c r="F973"/>
      <c r="G973" s="9"/>
      <c r="H973" s="9"/>
      <c r="I973" s="9"/>
      <c r="J973" s="9"/>
      <c r="K973" s="9"/>
      <c r="L973" s="9"/>
    </row>
    <row r="974" spans="3:12" x14ac:dyDescent="0.25">
      <c r="C974"/>
      <c r="E974"/>
      <c r="F974"/>
      <c r="G974" s="9"/>
      <c r="H974" s="9"/>
      <c r="I974" s="9"/>
      <c r="J974" s="9"/>
      <c r="K974" s="9"/>
      <c r="L974" s="9"/>
    </row>
    <row r="975" spans="3:12" x14ac:dyDescent="0.25">
      <c r="C975"/>
      <c r="E975"/>
      <c r="F975"/>
      <c r="G975" s="9"/>
      <c r="H975" s="9"/>
      <c r="I975" s="9"/>
      <c r="J975" s="9"/>
      <c r="K975" s="9"/>
      <c r="L975" s="9"/>
    </row>
    <row r="976" spans="3:12" x14ac:dyDescent="0.25">
      <c r="C976"/>
      <c r="E976"/>
      <c r="F976"/>
      <c r="G976" s="9"/>
      <c r="H976" s="9"/>
      <c r="I976" s="9"/>
      <c r="J976" s="9"/>
      <c r="K976" s="9"/>
      <c r="L976" s="9"/>
    </row>
    <row r="977" spans="3:12" x14ac:dyDescent="0.25">
      <c r="C977"/>
      <c r="E977"/>
      <c r="F977"/>
      <c r="G977" s="9"/>
      <c r="H977" s="9"/>
      <c r="I977" s="9"/>
      <c r="J977" s="9"/>
      <c r="K977" s="9"/>
      <c r="L977" s="9"/>
    </row>
    <row r="978" spans="3:12" x14ac:dyDescent="0.25">
      <c r="C978"/>
      <c r="E978"/>
      <c r="F978"/>
      <c r="G978" s="9"/>
      <c r="H978" s="9"/>
      <c r="I978" s="9"/>
      <c r="J978" s="9"/>
      <c r="K978" s="9"/>
      <c r="L978" s="9"/>
    </row>
    <row r="979" spans="3:12" x14ac:dyDescent="0.25">
      <c r="C979"/>
      <c r="E979"/>
      <c r="F979"/>
      <c r="G979" s="9"/>
      <c r="H979" s="9"/>
      <c r="I979" s="9"/>
      <c r="J979" s="9"/>
      <c r="K979" s="9"/>
      <c r="L979" s="9"/>
    </row>
    <row r="980" spans="3:12" x14ac:dyDescent="0.25">
      <c r="C980"/>
      <c r="E980"/>
      <c r="F980"/>
      <c r="G980" s="9"/>
      <c r="H980" s="9"/>
      <c r="I980" s="9"/>
      <c r="J980" s="9"/>
      <c r="K980" s="9"/>
      <c r="L980" s="9"/>
    </row>
    <row r="981" spans="3:12" x14ac:dyDescent="0.25">
      <c r="C981"/>
      <c r="E981"/>
      <c r="F981"/>
      <c r="G981" s="9"/>
      <c r="H981" s="9"/>
      <c r="I981" s="9"/>
      <c r="J981" s="9"/>
      <c r="K981" s="9"/>
      <c r="L981" s="9"/>
    </row>
    <row r="982" spans="3:12" x14ac:dyDescent="0.25">
      <c r="C982"/>
      <c r="E982"/>
      <c r="F982"/>
      <c r="G982" s="9"/>
      <c r="H982" s="9"/>
      <c r="I982" s="9"/>
      <c r="J982" s="9"/>
      <c r="K982" s="9"/>
      <c r="L982" s="9"/>
    </row>
    <row r="983" spans="3:12" x14ac:dyDescent="0.25">
      <c r="C983"/>
      <c r="E983"/>
      <c r="F983"/>
      <c r="G983" s="9"/>
      <c r="H983" s="9"/>
      <c r="I983" s="9"/>
      <c r="J983" s="9"/>
      <c r="K983" s="9"/>
      <c r="L983" s="9"/>
    </row>
    <row r="984" spans="3:12" x14ac:dyDescent="0.25">
      <c r="C984"/>
      <c r="E984"/>
      <c r="F984"/>
      <c r="G984" s="9"/>
      <c r="H984" s="9"/>
      <c r="I984" s="9"/>
      <c r="J984" s="9"/>
      <c r="K984" s="9"/>
      <c r="L984" s="9"/>
    </row>
    <row r="985" spans="3:12" x14ac:dyDescent="0.25">
      <c r="C985"/>
      <c r="E985"/>
      <c r="F985"/>
      <c r="G985" s="9"/>
      <c r="H985" s="9"/>
      <c r="I985" s="9"/>
      <c r="J985" s="9"/>
      <c r="K985" s="9"/>
      <c r="L985" s="9"/>
    </row>
    <row r="986" spans="3:12" x14ac:dyDescent="0.25">
      <c r="C986"/>
      <c r="E986"/>
      <c r="F986"/>
      <c r="G986" s="9"/>
      <c r="H986" s="9"/>
      <c r="I986" s="9"/>
      <c r="J986" s="9"/>
      <c r="K986" s="9"/>
      <c r="L986" s="9"/>
    </row>
    <row r="987" spans="3:12" x14ac:dyDescent="0.25">
      <c r="C987"/>
      <c r="E987"/>
      <c r="F987"/>
      <c r="G987" s="9"/>
      <c r="H987" s="9"/>
      <c r="I987" s="9"/>
      <c r="J987" s="9"/>
      <c r="K987" s="9"/>
      <c r="L987" s="9"/>
    </row>
    <row r="988" spans="3:12" x14ac:dyDescent="0.25">
      <c r="C988"/>
      <c r="E988"/>
      <c r="F988"/>
      <c r="G988" s="9"/>
      <c r="H988" s="9"/>
      <c r="I988" s="9"/>
      <c r="J988" s="9"/>
      <c r="K988" s="9"/>
      <c r="L988" s="9"/>
    </row>
    <row r="989" spans="3:12" x14ac:dyDescent="0.25">
      <c r="C989"/>
      <c r="E989"/>
      <c r="F989"/>
      <c r="G989" s="9"/>
      <c r="H989" s="9"/>
      <c r="I989" s="9"/>
      <c r="J989" s="9"/>
      <c r="K989" s="9"/>
      <c r="L989" s="9"/>
    </row>
    <row r="990" spans="3:12" x14ac:dyDescent="0.25">
      <c r="C990"/>
      <c r="E990"/>
      <c r="F990"/>
      <c r="G990" s="9"/>
      <c r="H990" s="9"/>
      <c r="I990" s="9"/>
      <c r="J990" s="9"/>
      <c r="K990" s="9"/>
      <c r="L990" s="9"/>
    </row>
    <row r="991" spans="3:12" x14ac:dyDescent="0.25">
      <c r="C991"/>
      <c r="E991"/>
      <c r="F991"/>
      <c r="G991" s="9"/>
      <c r="H991" s="9"/>
      <c r="I991" s="9"/>
      <c r="J991" s="9"/>
      <c r="K991" s="9"/>
      <c r="L991" s="9"/>
    </row>
    <row r="992" spans="3:12" x14ac:dyDescent="0.25">
      <c r="C992"/>
      <c r="E992"/>
      <c r="F992"/>
      <c r="G992" s="9"/>
      <c r="H992" s="9"/>
      <c r="I992" s="9"/>
      <c r="J992" s="9"/>
      <c r="K992" s="9"/>
      <c r="L992" s="9"/>
    </row>
    <row r="993" spans="3:12" x14ac:dyDescent="0.25">
      <c r="C993"/>
      <c r="E993"/>
      <c r="F993"/>
      <c r="G993" s="9"/>
      <c r="H993" s="9"/>
      <c r="I993" s="9"/>
      <c r="J993" s="9"/>
      <c r="K993" s="9"/>
      <c r="L993" s="9"/>
    </row>
    <row r="994" spans="3:12" x14ac:dyDescent="0.25">
      <c r="C994"/>
      <c r="E994"/>
      <c r="F994"/>
      <c r="G994" s="9"/>
      <c r="H994" s="9"/>
      <c r="I994" s="9"/>
      <c r="J994" s="9"/>
      <c r="K994" s="9"/>
      <c r="L994" s="9"/>
    </row>
    <row r="995" spans="3:12" x14ac:dyDescent="0.25">
      <c r="C995"/>
      <c r="E995"/>
      <c r="F995"/>
      <c r="G995" s="9"/>
      <c r="H995" s="9"/>
      <c r="I995" s="9"/>
      <c r="J995" s="9"/>
      <c r="K995" s="9"/>
      <c r="L995" s="9"/>
    </row>
    <row r="996" spans="3:12" x14ac:dyDescent="0.25">
      <c r="C996"/>
      <c r="E996"/>
      <c r="F996"/>
      <c r="G996" s="9"/>
      <c r="H996" s="9"/>
      <c r="I996" s="9"/>
      <c r="J996" s="9"/>
      <c r="K996" s="9"/>
      <c r="L996" s="9"/>
    </row>
    <row r="997" spans="3:12" x14ac:dyDescent="0.25">
      <c r="C997"/>
      <c r="E997"/>
      <c r="F997"/>
      <c r="G997" s="9"/>
      <c r="H997" s="9"/>
      <c r="I997" s="9"/>
      <c r="J997" s="9"/>
      <c r="K997" s="9"/>
      <c r="L997" s="9"/>
    </row>
    <row r="998" spans="3:12" x14ac:dyDescent="0.25">
      <c r="C998"/>
      <c r="E998"/>
      <c r="F998"/>
      <c r="G998" s="9"/>
      <c r="H998" s="9"/>
      <c r="I998" s="9"/>
      <c r="J998" s="9"/>
      <c r="K998" s="9"/>
      <c r="L998" s="9"/>
    </row>
    <row r="999" spans="3:12" x14ac:dyDescent="0.25">
      <c r="C999"/>
      <c r="E999"/>
      <c r="F999"/>
      <c r="G999" s="9"/>
      <c r="H999" s="9"/>
      <c r="I999" s="9"/>
      <c r="J999" s="9"/>
      <c r="K999" s="9"/>
      <c r="L999" s="9"/>
    </row>
    <row r="1000" spans="3:12" x14ac:dyDescent="0.25">
      <c r="C1000"/>
      <c r="E1000"/>
      <c r="F1000"/>
      <c r="G1000" s="9"/>
      <c r="H1000" s="9"/>
      <c r="I1000" s="9"/>
      <c r="J1000" s="9"/>
      <c r="K1000" s="9"/>
      <c r="L1000" s="9"/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4016-C895-459D-994F-04CB7E727C2E}">
  <dimension ref="A1:U35"/>
  <sheetViews>
    <sheetView topLeftCell="A13" zoomScale="106" zoomScaleNormal="106" workbookViewId="0">
      <selection activeCell="R41" sqref="R41"/>
    </sheetView>
  </sheetViews>
  <sheetFormatPr defaultRowHeight="15" x14ac:dyDescent="0.25"/>
  <cols>
    <col min="1" max="1" width="22.28515625" bestFit="1" customWidth="1"/>
    <col min="2" max="2" width="25.28515625" bestFit="1" customWidth="1"/>
    <col min="3" max="3" width="13.5703125" bestFit="1" customWidth="1"/>
    <col min="4" max="4" width="17.42578125" bestFit="1" customWidth="1"/>
    <col min="5" max="5" width="18.85546875" customWidth="1"/>
    <col min="6" max="6" width="21.42578125" customWidth="1"/>
    <col min="7" max="7" width="14.42578125" customWidth="1"/>
    <col min="8" max="8" width="14.28515625" customWidth="1"/>
    <col min="9" max="9" width="17.7109375" customWidth="1"/>
    <col min="10" max="10" width="25.28515625" bestFit="1" customWidth="1"/>
    <col min="11" max="11" width="17.42578125" bestFit="1" customWidth="1"/>
    <col min="12" max="12" width="13.5703125" bestFit="1" customWidth="1"/>
    <col min="13" max="13" width="17.42578125" bestFit="1" customWidth="1"/>
    <col min="14" max="14" width="14.140625" bestFit="1" customWidth="1"/>
    <col min="15" max="15" width="17.85546875" bestFit="1" customWidth="1"/>
    <col min="16" max="16" width="12.42578125" bestFit="1" customWidth="1"/>
    <col min="17" max="17" width="16.28515625" customWidth="1"/>
    <col min="18" max="18" width="17.85546875" bestFit="1" customWidth="1"/>
    <col min="19" max="19" width="17.42578125" bestFit="1" customWidth="1"/>
    <col min="20" max="20" width="17" bestFit="1" customWidth="1"/>
    <col min="21" max="22" width="22.42578125" bestFit="1" customWidth="1"/>
    <col min="23" max="23" width="17.42578125" bestFit="1" customWidth="1"/>
    <col min="24" max="24" width="23" customWidth="1"/>
    <col min="25" max="25" width="18.5703125" bestFit="1" customWidth="1"/>
    <col min="26" max="26" width="22.42578125" bestFit="1" customWidth="1"/>
    <col min="27" max="27" width="17" bestFit="1" customWidth="1"/>
    <col min="28" max="28" width="18.5703125" bestFit="1" customWidth="1"/>
    <col min="29" max="29" width="22.42578125" bestFit="1" customWidth="1"/>
  </cols>
  <sheetData>
    <row r="1" spans="1:11" ht="15.75" x14ac:dyDescent="0.25">
      <c r="A1" s="34" t="s">
        <v>387</v>
      </c>
      <c r="B1" s="35"/>
      <c r="E1" s="34" t="s">
        <v>388</v>
      </c>
      <c r="F1" s="35"/>
      <c r="J1" s="12" t="s">
        <v>374</v>
      </c>
    </row>
    <row r="2" spans="1:11" x14ac:dyDescent="0.25">
      <c r="A2" s="4" t="s">
        <v>362</v>
      </c>
      <c r="B2" t="s">
        <v>384</v>
      </c>
      <c r="E2" s="4" t="s">
        <v>362</v>
      </c>
      <c r="F2" t="s">
        <v>386</v>
      </c>
      <c r="J2" s="4" t="s">
        <v>362</v>
      </c>
      <c r="K2" t="s">
        <v>372</v>
      </c>
    </row>
    <row r="3" spans="1:11" x14ac:dyDescent="0.25">
      <c r="A3" s="5" t="s">
        <v>33</v>
      </c>
      <c r="B3" s="17">
        <v>0.13887772583296507</v>
      </c>
      <c r="E3" s="5" t="s">
        <v>107</v>
      </c>
      <c r="F3" s="17">
        <v>0.49054105563022848</v>
      </c>
      <c r="J3" s="5" t="s">
        <v>356</v>
      </c>
      <c r="K3" s="9">
        <v>1811.3103448275863</v>
      </c>
    </row>
    <row r="4" spans="1:11" x14ac:dyDescent="0.25">
      <c r="A4" s="5" t="s">
        <v>16</v>
      </c>
      <c r="B4" s="17">
        <v>0.12413746843755114</v>
      </c>
      <c r="E4" s="5" t="s">
        <v>226</v>
      </c>
      <c r="F4" s="17">
        <v>0.48803915290673738</v>
      </c>
      <c r="J4" s="11" t="s">
        <v>357</v>
      </c>
      <c r="K4" s="9">
        <v>1811.3103448275863</v>
      </c>
    </row>
    <row r="5" spans="1:11" x14ac:dyDescent="0.25">
      <c r="A5" s="5" t="s">
        <v>19</v>
      </c>
      <c r="B5" s="17">
        <v>0.1177713560163894</v>
      </c>
      <c r="E5" s="5" t="s">
        <v>146</v>
      </c>
      <c r="F5" s="17">
        <v>0.454928065278076</v>
      </c>
      <c r="J5" s="5" t="s">
        <v>354</v>
      </c>
      <c r="K5" s="9">
        <v>1711.5135135135135</v>
      </c>
    </row>
    <row r="6" spans="1:11" x14ac:dyDescent="0.25">
      <c r="A6" s="5" t="s">
        <v>12</v>
      </c>
      <c r="B6" s="17">
        <v>0.1121882803999053</v>
      </c>
      <c r="E6" s="5" t="s">
        <v>152</v>
      </c>
      <c r="F6" s="17">
        <v>0.41655672298962027</v>
      </c>
      <c r="J6" s="11" t="s">
        <v>355</v>
      </c>
      <c r="K6" s="9">
        <v>1711.5135135135135</v>
      </c>
    </row>
    <row r="7" spans="1:11" x14ac:dyDescent="0.25">
      <c r="A7" s="5" t="s">
        <v>363</v>
      </c>
      <c r="B7" s="17">
        <v>0.12284132745362931</v>
      </c>
      <c r="E7" s="5" t="s">
        <v>36</v>
      </c>
      <c r="F7" s="17">
        <v>0.40382152376337016</v>
      </c>
      <c r="J7" s="5" t="s">
        <v>359</v>
      </c>
      <c r="K7">
        <v>1706.76</v>
      </c>
    </row>
    <row r="8" spans="1:11" x14ac:dyDescent="0.25">
      <c r="E8" s="5" t="s">
        <v>148</v>
      </c>
      <c r="F8" s="17">
        <v>0.39401343921808185</v>
      </c>
      <c r="J8" s="11" t="s">
        <v>27</v>
      </c>
      <c r="K8">
        <v>1706.76</v>
      </c>
    </row>
    <row r="9" spans="1:11" x14ac:dyDescent="0.25">
      <c r="E9" s="5" t="s">
        <v>312</v>
      </c>
      <c r="F9" s="17">
        <v>0.36764099509781462</v>
      </c>
      <c r="J9" s="5" t="s">
        <v>346</v>
      </c>
      <c r="K9" s="9">
        <v>1680.3571428571429</v>
      </c>
    </row>
    <row r="10" spans="1:11" x14ac:dyDescent="0.25">
      <c r="E10" s="5" t="s">
        <v>251</v>
      </c>
      <c r="F10" s="17">
        <v>0.35412345125301342</v>
      </c>
      <c r="J10" s="11" t="s">
        <v>347</v>
      </c>
      <c r="K10" s="9">
        <v>1680.3571428571429</v>
      </c>
    </row>
    <row r="11" spans="1:11" x14ac:dyDescent="0.25">
      <c r="E11" s="5" t="s">
        <v>256</v>
      </c>
      <c r="F11" s="17">
        <v>0.33944448049841003</v>
      </c>
      <c r="J11" s="5" t="s">
        <v>344</v>
      </c>
      <c r="K11">
        <v>1674.96</v>
      </c>
    </row>
    <row r="12" spans="1:11" x14ac:dyDescent="0.25">
      <c r="E12" s="5" t="s">
        <v>210</v>
      </c>
      <c r="F12" s="17">
        <v>0.33811899081905589</v>
      </c>
      <c r="J12" s="11" t="s">
        <v>345</v>
      </c>
      <c r="K12">
        <v>1674.96</v>
      </c>
    </row>
    <row r="13" spans="1:11" x14ac:dyDescent="0.25">
      <c r="J13" s="5" t="s">
        <v>348</v>
      </c>
      <c r="K13">
        <v>1592.72</v>
      </c>
    </row>
    <row r="14" spans="1:11" x14ac:dyDescent="0.25">
      <c r="J14" s="11" t="s">
        <v>349</v>
      </c>
      <c r="K14">
        <v>1592.72</v>
      </c>
    </row>
    <row r="15" spans="1:11" x14ac:dyDescent="0.25">
      <c r="J15" s="5" t="s">
        <v>350</v>
      </c>
      <c r="K15" s="9">
        <v>1541.3725490196077</v>
      </c>
    </row>
    <row r="16" spans="1:11" x14ac:dyDescent="0.25">
      <c r="J16" s="5" t="s">
        <v>352</v>
      </c>
      <c r="K16" s="9">
        <v>1463.2941176470588</v>
      </c>
    </row>
    <row r="17" spans="1:21" x14ac:dyDescent="0.25">
      <c r="J17" s="5" t="s">
        <v>360</v>
      </c>
      <c r="K17" s="9">
        <v>1459.3076923076924</v>
      </c>
    </row>
    <row r="18" spans="1:21" x14ac:dyDescent="0.25">
      <c r="J18" s="5" t="s">
        <v>363</v>
      </c>
      <c r="K18" s="9">
        <v>1627.7078651685392</v>
      </c>
    </row>
    <row r="27" spans="1:21" ht="15.75" x14ac:dyDescent="0.25">
      <c r="A27" s="12" t="s">
        <v>373</v>
      </c>
      <c r="F27" s="12" t="s">
        <v>389</v>
      </c>
      <c r="G27" s="12"/>
      <c r="H27" s="13"/>
    </row>
    <row r="28" spans="1:21" x14ac:dyDescent="0.25">
      <c r="A28" s="4" t="s">
        <v>362</v>
      </c>
      <c r="B28" t="s">
        <v>366</v>
      </c>
      <c r="C28" t="s">
        <v>364</v>
      </c>
      <c r="D28" t="s">
        <v>365</v>
      </c>
      <c r="G28" s="4" t="s">
        <v>368</v>
      </c>
    </row>
    <row r="29" spans="1:21" x14ac:dyDescent="0.25">
      <c r="A29" s="5" t="s">
        <v>16</v>
      </c>
      <c r="B29">
        <v>1134366</v>
      </c>
      <c r="C29">
        <v>70960</v>
      </c>
      <c r="D29">
        <v>49700</v>
      </c>
      <c r="G29" t="s">
        <v>19</v>
      </c>
      <c r="J29" t="s">
        <v>16</v>
      </c>
      <c r="M29" t="s">
        <v>33</v>
      </c>
      <c r="P29" t="s">
        <v>12</v>
      </c>
      <c r="S29" t="s">
        <v>369</v>
      </c>
      <c r="T29" t="s">
        <v>370</v>
      </c>
      <c r="U29" t="s">
        <v>371</v>
      </c>
    </row>
    <row r="30" spans="1:21" x14ac:dyDescent="0.25">
      <c r="A30" s="5" t="s">
        <v>33</v>
      </c>
      <c r="B30">
        <v>1037623</v>
      </c>
      <c r="C30">
        <v>59661</v>
      </c>
      <c r="D30">
        <v>39273</v>
      </c>
      <c r="F30" s="4" t="s">
        <v>362</v>
      </c>
      <c r="G30" t="s">
        <v>366</v>
      </c>
      <c r="H30" t="s">
        <v>364</v>
      </c>
      <c r="I30" t="s">
        <v>365</v>
      </c>
      <c r="J30" t="s">
        <v>366</v>
      </c>
      <c r="K30" t="s">
        <v>364</v>
      </c>
      <c r="L30" t="s">
        <v>365</v>
      </c>
      <c r="M30" t="s">
        <v>366</v>
      </c>
      <c r="N30" t="s">
        <v>364</v>
      </c>
      <c r="O30" t="s">
        <v>365</v>
      </c>
      <c r="P30" t="s">
        <v>366</v>
      </c>
      <c r="Q30" t="s">
        <v>364</v>
      </c>
      <c r="R30" t="s">
        <v>365</v>
      </c>
    </row>
    <row r="31" spans="1:21" x14ac:dyDescent="0.25">
      <c r="A31" s="5" t="s">
        <v>12</v>
      </c>
      <c r="B31">
        <v>948258</v>
      </c>
      <c r="C31">
        <v>67460</v>
      </c>
      <c r="D31">
        <v>42629</v>
      </c>
      <c r="F31" s="5" t="s">
        <v>29</v>
      </c>
      <c r="G31">
        <v>278757</v>
      </c>
      <c r="H31">
        <v>16508</v>
      </c>
      <c r="I31">
        <v>13676</v>
      </c>
      <c r="J31">
        <v>246297</v>
      </c>
      <c r="K31">
        <v>18856</v>
      </c>
      <c r="L31">
        <v>12611</v>
      </c>
      <c r="M31">
        <v>394886</v>
      </c>
      <c r="N31">
        <v>21298</v>
      </c>
      <c r="O31">
        <v>14381</v>
      </c>
      <c r="P31">
        <v>279732</v>
      </c>
      <c r="Q31">
        <v>24668</v>
      </c>
      <c r="R31">
        <v>13714</v>
      </c>
      <c r="S31">
        <v>1199672</v>
      </c>
      <c r="T31">
        <v>81330</v>
      </c>
      <c r="U31">
        <v>54382</v>
      </c>
    </row>
    <row r="32" spans="1:21" x14ac:dyDescent="0.25">
      <c r="A32" s="5" t="s">
        <v>19</v>
      </c>
      <c r="B32">
        <v>947196</v>
      </c>
      <c r="C32">
        <v>63205</v>
      </c>
      <c r="D32">
        <v>40786</v>
      </c>
      <c r="F32" s="5" t="s">
        <v>13</v>
      </c>
      <c r="G32">
        <v>218031</v>
      </c>
      <c r="H32">
        <v>18753</v>
      </c>
      <c r="I32">
        <v>10389</v>
      </c>
      <c r="J32">
        <v>329722</v>
      </c>
      <c r="K32">
        <v>19905</v>
      </c>
      <c r="L32">
        <v>14305</v>
      </c>
      <c r="M32">
        <v>148676</v>
      </c>
      <c r="N32">
        <v>7832</v>
      </c>
      <c r="O32">
        <v>6092</v>
      </c>
      <c r="P32">
        <v>195079</v>
      </c>
      <c r="Q32">
        <v>10604</v>
      </c>
      <c r="R32">
        <v>8277</v>
      </c>
      <c r="S32">
        <v>891508</v>
      </c>
      <c r="T32">
        <v>57094</v>
      </c>
      <c r="U32">
        <v>39063</v>
      </c>
    </row>
    <row r="33" spans="1:21" x14ac:dyDescent="0.25">
      <c r="A33" s="5" t="s">
        <v>363</v>
      </c>
      <c r="B33">
        <v>4067443</v>
      </c>
      <c r="C33">
        <v>261286</v>
      </c>
      <c r="D33">
        <v>172388</v>
      </c>
      <c r="F33" s="5" t="s">
        <v>20</v>
      </c>
      <c r="G33">
        <v>206053</v>
      </c>
      <c r="H33">
        <v>14750</v>
      </c>
      <c r="I33">
        <v>9295</v>
      </c>
      <c r="J33">
        <v>279588</v>
      </c>
      <c r="K33">
        <v>17963</v>
      </c>
      <c r="L33">
        <v>11014</v>
      </c>
      <c r="M33">
        <v>249305</v>
      </c>
      <c r="N33">
        <v>15862</v>
      </c>
      <c r="O33">
        <v>9160</v>
      </c>
      <c r="P33">
        <v>187129</v>
      </c>
      <c r="Q33">
        <v>14136</v>
      </c>
      <c r="R33">
        <v>8101</v>
      </c>
      <c r="S33">
        <v>922075</v>
      </c>
      <c r="T33">
        <v>62711</v>
      </c>
      <c r="U33">
        <v>37570</v>
      </c>
    </row>
    <row r="34" spans="1:21" x14ac:dyDescent="0.25">
      <c r="F34" s="5" t="s">
        <v>23</v>
      </c>
      <c r="G34">
        <v>244355</v>
      </c>
      <c r="H34">
        <v>13194</v>
      </c>
      <c r="I34">
        <v>7426</v>
      </c>
      <c r="J34">
        <v>278759</v>
      </c>
      <c r="K34">
        <v>14236</v>
      </c>
      <c r="L34">
        <v>11770</v>
      </c>
      <c r="M34">
        <v>244756</v>
      </c>
      <c r="N34">
        <v>14669</v>
      </c>
      <c r="O34">
        <v>9640</v>
      </c>
      <c r="P34">
        <v>286318</v>
      </c>
      <c r="Q34">
        <v>18052</v>
      </c>
      <c r="R34">
        <v>12537</v>
      </c>
      <c r="S34">
        <v>1054188</v>
      </c>
      <c r="T34">
        <v>60151</v>
      </c>
      <c r="U34">
        <v>41373</v>
      </c>
    </row>
    <row r="35" spans="1:21" x14ac:dyDescent="0.25">
      <c r="F35" s="5" t="s">
        <v>363</v>
      </c>
      <c r="G35">
        <v>947196</v>
      </c>
      <c r="H35">
        <v>63205</v>
      </c>
      <c r="I35">
        <v>40786</v>
      </c>
      <c r="J35">
        <v>1134366</v>
      </c>
      <c r="K35">
        <v>70960</v>
      </c>
      <c r="L35">
        <v>49700</v>
      </c>
      <c r="M35">
        <v>1037623</v>
      </c>
      <c r="N35">
        <v>59661</v>
      </c>
      <c r="O35">
        <v>39273</v>
      </c>
      <c r="P35">
        <v>948258</v>
      </c>
      <c r="Q35">
        <v>67460</v>
      </c>
      <c r="R35">
        <v>42629</v>
      </c>
      <c r="S35">
        <v>4067443</v>
      </c>
      <c r="T35">
        <v>261286</v>
      </c>
      <c r="U35">
        <v>172388</v>
      </c>
    </row>
  </sheetData>
  <mergeCells count="2">
    <mergeCell ref="A1:B1"/>
    <mergeCell ref="E1:F1"/>
  </mergeCells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7137-735F-4326-8B3D-4C5212F4780A}">
  <dimension ref="A1:L54"/>
  <sheetViews>
    <sheetView workbookViewId="0">
      <selection activeCell="A24" sqref="A24"/>
    </sheetView>
  </sheetViews>
  <sheetFormatPr defaultRowHeight="15" x14ac:dyDescent="0.25"/>
  <cols>
    <col min="1" max="1" width="13.140625" bestFit="1" customWidth="1"/>
    <col min="2" max="2" width="27.5703125" bestFit="1" customWidth="1"/>
    <col min="3" max="3" width="16.7109375" bestFit="1" customWidth="1"/>
    <col min="7" max="7" width="21.85546875" bestFit="1" customWidth="1"/>
    <col min="8" max="8" width="16.28515625" bestFit="1" customWidth="1"/>
    <col min="9" max="9" width="8.5703125" bestFit="1" customWidth="1"/>
    <col min="10" max="10" width="9.7109375" bestFit="1" customWidth="1"/>
    <col min="11" max="11" width="8.85546875" bestFit="1" customWidth="1"/>
    <col min="12" max="12" width="11.28515625" bestFit="1" customWidth="1"/>
    <col min="13" max="13" width="16.28515625" bestFit="1" customWidth="1"/>
    <col min="14" max="14" width="8.5703125" bestFit="1" customWidth="1"/>
    <col min="15" max="15" width="9.7109375" bestFit="1" customWidth="1"/>
    <col min="16" max="16" width="8.85546875" bestFit="1" customWidth="1"/>
    <col min="17" max="17" width="11.28515625" bestFit="1" customWidth="1"/>
  </cols>
  <sheetData>
    <row r="1" spans="1:12" x14ac:dyDescent="0.25">
      <c r="A1" s="36" t="s">
        <v>390</v>
      </c>
      <c r="B1" s="36"/>
      <c r="G1" s="34" t="s">
        <v>391</v>
      </c>
      <c r="H1" s="35"/>
    </row>
    <row r="2" spans="1:12" x14ac:dyDescent="0.25">
      <c r="A2" s="4" t="s">
        <v>362</v>
      </c>
      <c r="B2" t="s">
        <v>376</v>
      </c>
      <c r="G2" s="4" t="s">
        <v>375</v>
      </c>
      <c r="H2" s="4" t="s">
        <v>368</v>
      </c>
    </row>
    <row r="3" spans="1:12" x14ac:dyDescent="0.25">
      <c r="A3" s="5" t="s">
        <v>12</v>
      </c>
      <c r="B3" s="9">
        <v>17.599262914182141</v>
      </c>
      <c r="G3" s="4" t="s">
        <v>362</v>
      </c>
      <c r="H3" t="s">
        <v>33</v>
      </c>
      <c r="I3" t="s">
        <v>16</v>
      </c>
      <c r="J3" t="s">
        <v>19</v>
      </c>
      <c r="K3" t="s">
        <v>12</v>
      </c>
      <c r="L3" t="s">
        <v>363</v>
      </c>
    </row>
    <row r="4" spans="1:12" x14ac:dyDescent="0.25">
      <c r="A4" s="5" t="s">
        <v>33</v>
      </c>
      <c r="B4" s="9">
        <v>17.480513118999934</v>
      </c>
      <c r="G4" s="16">
        <v>45446</v>
      </c>
      <c r="H4">
        <v>8693</v>
      </c>
      <c r="J4">
        <v>4138</v>
      </c>
      <c r="K4">
        <v>18106</v>
      </c>
      <c r="L4">
        <v>30937</v>
      </c>
    </row>
    <row r="5" spans="1:12" x14ac:dyDescent="0.25">
      <c r="A5" s="5" t="s">
        <v>19</v>
      </c>
      <c r="B5" s="9">
        <v>15.559291798886182</v>
      </c>
      <c r="G5" s="16">
        <v>45453</v>
      </c>
      <c r="H5">
        <v>9203</v>
      </c>
      <c r="J5">
        <v>7721</v>
      </c>
      <c r="K5">
        <v>8002</v>
      </c>
      <c r="L5">
        <v>24926</v>
      </c>
    </row>
    <row r="6" spans="1:12" x14ac:dyDescent="0.25">
      <c r="A6" s="5" t="s">
        <v>16</v>
      </c>
      <c r="B6" s="9">
        <v>14.067998324800023</v>
      </c>
      <c r="G6" s="16">
        <v>45460</v>
      </c>
      <c r="H6">
        <v>6907</v>
      </c>
      <c r="I6">
        <v>7097</v>
      </c>
      <c r="J6">
        <v>15029</v>
      </c>
      <c r="L6">
        <v>29033</v>
      </c>
    </row>
    <row r="7" spans="1:12" x14ac:dyDescent="0.25">
      <c r="A7" s="5" t="s">
        <v>363</v>
      </c>
      <c r="B7" s="9">
        <v>16.076503821978303</v>
      </c>
      <c r="G7" s="16">
        <v>45467</v>
      </c>
      <c r="H7">
        <v>16885</v>
      </c>
      <c r="J7">
        <v>5259</v>
      </c>
      <c r="K7">
        <v>9286</v>
      </c>
      <c r="L7">
        <v>31430</v>
      </c>
    </row>
    <row r="8" spans="1:12" x14ac:dyDescent="0.25">
      <c r="G8" s="16">
        <v>45474</v>
      </c>
      <c r="H8">
        <v>9429</v>
      </c>
      <c r="I8">
        <v>5917</v>
      </c>
      <c r="J8">
        <v>6490</v>
      </c>
      <c r="L8">
        <v>21836</v>
      </c>
    </row>
    <row r="9" spans="1:12" x14ac:dyDescent="0.25">
      <c r="G9" s="16">
        <v>45481</v>
      </c>
      <c r="H9">
        <v>8045</v>
      </c>
      <c r="I9">
        <v>12349</v>
      </c>
      <c r="L9">
        <v>20394</v>
      </c>
    </row>
    <row r="10" spans="1:12" x14ac:dyDescent="0.25">
      <c r="G10" s="16">
        <v>45488</v>
      </c>
      <c r="H10">
        <v>8137</v>
      </c>
      <c r="J10">
        <v>5500</v>
      </c>
      <c r="K10">
        <v>1963</v>
      </c>
      <c r="L10">
        <v>15600</v>
      </c>
    </row>
    <row r="11" spans="1:12" x14ac:dyDescent="0.25">
      <c r="G11" s="16">
        <v>45495</v>
      </c>
      <c r="H11">
        <v>8179</v>
      </c>
      <c r="I11">
        <v>17307</v>
      </c>
      <c r="K11">
        <v>9734</v>
      </c>
      <c r="L11">
        <v>35220</v>
      </c>
    </row>
    <row r="12" spans="1:12" x14ac:dyDescent="0.25">
      <c r="G12" s="16">
        <v>45502</v>
      </c>
      <c r="H12">
        <v>6947</v>
      </c>
      <c r="I12">
        <v>8622</v>
      </c>
      <c r="K12">
        <v>4036</v>
      </c>
      <c r="L12">
        <v>19605</v>
      </c>
    </row>
    <row r="13" spans="1:12" x14ac:dyDescent="0.25">
      <c r="G13" s="16">
        <v>45509</v>
      </c>
      <c r="H13">
        <v>3719</v>
      </c>
      <c r="I13">
        <v>5349</v>
      </c>
      <c r="J13">
        <v>3494</v>
      </c>
      <c r="K13">
        <v>2884</v>
      </c>
      <c r="L13">
        <v>15446</v>
      </c>
    </row>
    <row r="14" spans="1:12" x14ac:dyDescent="0.25">
      <c r="G14" s="16">
        <v>45516</v>
      </c>
      <c r="H14">
        <v>14333</v>
      </c>
      <c r="J14">
        <v>7610</v>
      </c>
      <c r="K14">
        <v>7430</v>
      </c>
      <c r="L14">
        <v>29373</v>
      </c>
    </row>
    <row r="15" spans="1:12" x14ac:dyDescent="0.25">
      <c r="G15" s="16">
        <v>45523</v>
      </c>
      <c r="J15">
        <v>15013</v>
      </c>
      <c r="K15">
        <v>10587</v>
      </c>
      <c r="L15">
        <v>25600</v>
      </c>
    </row>
    <row r="16" spans="1:12" x14ac:dyDescent="0.25">
      <c r="G16" s="16">
        <v>45530</v>
      </c>
      <c r="H16">
        <v>6175</v>
      </c>
      <c r="I16">
        <v>1689</v>
      </c>
      <c r="J16">
        <v>9648</v>
      </c>
      <c r="K16">
        <v>6078</v>
      </c>
      <c r="L16">
        <v>23590</v>
      </c>
    </row>
    <row r="17" spans="1:12" x14ac:dyDescent="0.25">
      <c r="G17" s="16">
        <v>45537</v>
      </c>
      <c r="H17">
        <v>7406</v>
      </c>
      <c r="I17">
        <v>9591</v>
      </c>
      <c r="J17">
        <v>8627</v>
      </c>
      <c r="L17">
        <v>25624</v>
      </c>
    </row>
    <row r="18" spans="1:12" x14ac:dyDescent="0.25">
      <c r="G18" s="16">
        <v>45544</v>
      </c>
      <c r="I18">
        <v>6671</v>
      </c>
      <c r="J18">
        <v>7907</v>
      </c>
      <c r="K18">
        <v>12438</v>
      </c>
      <c r="L18">
        <v>27016</v>
      </c>
    </row>
    <row r="19" spans="1:12" x14ac:dyDescent="0.25">
      <c r="A19" s="36" t="s">
        <v>392</v>
      </c>
      <c r="B19" s="37"/>
      <c r="G19" s="16">
        <v>45551</v>
      </c>
      <c r="H19">
        <v>4292</v>
      </c>
      <c r="I19">
        <v>2382</v>
      </c>
      <c r="K19">
        <v>10331</v>
      </c>
      <c r="L19">
        <v>17005</v>
      </c>
    </row>
    <row r="20" spans="1:12" x14ac:dyDescent="0.25">
      <c r="A20" s="4" t="s">
        <v>362</v>
      </c>
      <c r="B20" t="s">
        <v>376</v>
      </c>
      <c r="C20" t="s">
        <v>377</v>
      </c>
      <c r="G20" s="16">
        <v>45558</v>
      </c>
      <c r="H20">
        <v>5517</v>
      </c>
      <c r="J20">
        <v>14578</v>
      </c>
      <c r="L20">
        <v>20095</v>
      </c>
    </row>
    <row r="21" spans="1:12" x14ac:dyDescent="0.25">
      <c r="A21" s="5" t="s">
        <v>12</v>
      </c>
      <c r="B21" s="9">
        <v>17.599262914182141</v>
      </c>
      <c r="C21">
        <v>1286371</v>
      </c>
      <c r="G21" s="16">
        <v>45565</v>
      </c>
      <c r="H21">
        <v>9737</v>
      </c>
      <c r="J21">
        <v>10637</v>
      </c>
      <c r="L21">
        <v>20374</v>
      </c>
    </row>
    <row r="22" spans="1:12" x14ac:dyDescent="0.25">
      <c r="A22" s="5" t="s">
        <v>33</v>
      </c>
      <c r="B22" s="9">
        <v>17.480513118999934</v>
      </c>
      <c r="C22">
        <v>1874083</v>
      </c>
      <c r="G22" s="16">
        <v>45572</v>
      </c>
      <c r="I22">
        <v>2549</v>
      </c>
      <c r="J22">
        <v>5481</v>
      </c>
      <c r="K22">
        <v>11856</v>
      </c>
      <c r="L22">
        <v>19886</v>
      </c>
    </row>
    <row r="23" spans="1:12" x14ac:dyDescent="0.25">
      <c r="A23" s="5" t="s">
        <v>19</v>
      </c>
      <c r="B23" s="9">
        <v>15.559291798886182</v>
      </c>
      <c r="C23">
        <v>1775883</v>
      </c>
      <c r="G23" s="16">
        <v>45579</v>
      </c>
      <c r="H23">
        <v>18028</v>
      </c>
      <c r="K23">
        <v>7548</v>
      </c>
      <c r="L23">
        <v>25576</v>
      </c>
    </row>
    <row r="24" spans="1:12" x14ac:dyDescent="0.25">
      <c r="A24" s="5" t="s">
        <v>16</v>
      </c>
      <c r="B24" s="9">
        <v>14.067998324800023</v>
      </c>
      <c r="C24">
        <v>1990523</v>
      </c>
      <c r="G24" s="16">
        <v>45586</v>
      </c>
      <c r="J24">
        <v>26389</v>
      </c>
      <c r="K24">
        <v>7793</v>
      </c>
      <c r="L24">
        <v>34182</v>
      </c>
    </row>
    <row r="25" spans="1:12" x14ac:dyDescent="0.25">
      <c r="A25" s="5" t="s">
        <v>363</v>
      </c>
      <c r="B25" s="9">
        <v>16.076503821978303</v>
      </c>
      <c r="C25">
        <v>6926860</v>
      </c>
      <c r="G25" s="16">
        <v>45593</v>
      </c>
      <c r="I25">
        <v>16789</v>
      </c>
      <c r="K25">
        <v>13549</v>
      </c>
      <c r="L25">
        <v>30338</v>
      </c>
    </row>
    <row r="26" spans="1:12" x14ac:dyDescent="0.25">
      <c r="G26" s="16">
        <v>45600</v>
      </c>
      <c r="H26">
        <v>10051</v>
      </c>
      <c r="I26">
        <v>5268</v>
      </c>
      <c r="K26">
        <v>3385</v>
      </c>
      <c r="L26">
        <v>18704</v>
      </c>
    </row>
    <row r="27" spans="1:12" x14ac:dyDescent="0.25">
      <c r="G27" s="16">
        <v>45607</v>
      </c>
      <c r="H27">
        <v>10819</v>
      </c>
      <c r="I27">
        <v>5592</v>
      </c>
      <c r="K27">
        <v>5795</v>
      </c>
      <c r="L27">
        <v>22206</v>
      </c>
    </row>
    <row r="28" spans="1:12" x14ac:dyDescent="0.25">
      <c r="G28" s="16">
        <v>45614</v>
      </c>
      <c r="H28">
        <v>7036</v>
      </c>
      <c r="I28">
        <v>10242</v>
      </c>
      <c r="J28">
        <v>5798</v>
      </c>
      <c r="L28">
        <v>23076</v>
      </c>
    </row>
    <row r="29" spans="1:12" x14ac:dyDescent="0.25">
      <c r="G29" s="16">
        <v>45621</v>
      </c>
      <c r="I29">
        <v>9737</v>
      </c>
      <c r="J29">
        <v>15788</v>
      </c>
      <c r="K29">
        <v>5719</v>
      </c>
      <c r="L29">
        <v>31244</v>
      </c>
    </row>
    <row r="30" spans="1:12" x14ac:dyDescent="0.25">
      <c r="G30" s="16">
        <v>45628</v>
      </c>
      <c r="I30">
        <v>5839</v>
      </c>
      <c r="J30">
        <v>9987</v>
      </c>
      <c r="K30">
        <v>4493</v>
      </c>
      <c r="L30">
        <v>20319</v>
      </c>
    </row>
    <row r="31" spans="1:12" x14ac:dyDescent="0.25">
      <c r="G31" s="16">
        <v>45635</v>
      </c>
      <c r="H31">
        <v>7164</v>
      </c>
      <c r="I31">
        <v>1016</v>
      </c>
      <c r="J31">
        <v>3672</v>
      </c>
      <c r="K31">
        <v>5200</v>
      </c>
      <c r="L31">
        <v>17052</v>
      </c>
    </row>
    <row r="32" spans="1:12" x14ac:dyDescent="0.25">
      <c r="G32" s="16">
        <v>45642</v>
      </c>
      <c r="H32">
        <v>7272</v>
      </c>
      <c r="I32">
        <v>9616</v>
      </c>
      <c r="J32">
        <v>5583</v>
      </c>
      <c r="L32">
        <v>22471</v>
      </c>
    </row>
    <row r="33" spans="7:12" x14ac:dyDescent="0.25">
      <c r="G33" s="16">
        <v>45649</v>
      </c>
      <c r="I33">
        <v>8743</v>
      </c>
      <c r="J33">
        <v>4631</v>
      </c>
      <c r="K33">
        <v>8177</v>
      </c>
      <c r="L33">
        <v>21551</v>
      </c>
    </row>
    <row r="34" spans="7:12" x14ac:dyDescent="0.25">
      <c r="G34" s="16">
        <v>45656</v>
      </c>
      <c r="H34">
        <v>3279</v>
      </c>
      <c r="I34">
        <v>18556</v>
      </c>
      <c r="J34">
        <v>4897</v>
      </c>
      <c r="L34">
        <v>26732</v>
      </c>
    </row>
    <row r="35" spans="7:12" x14ac:dyDescent="0.25">
      <c r="G35" s="16">
        <v>45663</v>
      </c>
      <c r="H35">
        <v>10226</v>
      </c>
      <c r="I35">
        <v>9980</v>
      </c>
      <c r="K35">
        <v>9906</v>
      </c>
      <c r="L35">
        <v>30112</v>
      </c>
    </row>
    <row r="36" spans="7:12" x14ac:dyDescent="0.25">
      <c r="G36" s="16">
        <v>45670</v>
      </c>
      <c r="H36">
        <v>8088</v>
      </c>
      <c r="I36">
        <v>7869</v>
      </c>
      <c r="J36">
        <v>3247</v>
      </c>
      <c r="K36">
        <v>1078</v>
      </c>
      <c r="L36">
        <v>20282</v>
      </c>
    </row>
    <row r="37" spans="7:12" x14ac:dyDescent="0.25">
      <c r="G37" s="16">
        <v>45677</v>
      </c>
      <c r="H37">
        <v>22105</v>
      </c>
      <c r="K37">
        <v>8340</v>
      </c>
      <c r="L37">
        <v>30445</v>
      </c>
    </row>
    <row r="38" spans="7:12" x14ac:dyDescent="0.25">
      <c r="G38" s="16">
        <v>45684</v>
      </c>
      <c r="H38">
        <v>13170</v>
      </c>
      <c r="I38">
        <v>8083</v>
      </c>
      <c r="J38">
        <v>4271</v>
      </c>
      <c r="L38">
        <v>25524</v>
      </c>
    </row>
    <row r="39" spans="7:12" x14ac:dyDescent="0.25">
      <c r="G39" s="16">
        <v>45691</v>
      </c>
      <c r="H39">
        <v>17438</v>
      </c>
      <c r="K39">
        <v>14055</v>
      </c>
      <c r="L39">
        <v>31493</v>
      </c>
    </row>
    <row r="40" spans="7:12" x14ac:dyDescent="0.25">
      <c r="G40" s="16">
        <v>45698</v>
      </c>
      <c r="H40">
        <v>1147</v>
      </c>
      <c r="I40">
        <v>13799</v>
      </c>
      <c r="L40">
        <v>14946</v>
      </c>
    </row>
    <row r="41" spans="7:12" x14ac:dyDescent="0.25">
      <c r="G41" s="16">
        <v>45705</v>
      </c>
      <c r="H41">
        <v>1365</v>
      </c>
      <c r="I41">
        <v>5531</v>
      </c>
      <c r="J41">
        <v>12840</v>
      </c>
      <c r="L41">
        <v>19736</v>
      </c>
    </row>
    <row r="42" spans="7:12" x14ac:dyDescent="0.25">
      <c r="G42" s="16">
        <v>45712</v>
      </c>
      <c r="J42">
        <v>16193</v>
      </c>
      <c r="K42">
        <v>17457</v>
      </c>
      <c r="L42">
        <v>33650</v>
      </c>
    </row>
    <row r="43" spans="7:12" x14ac:dyDescent="0.25">
      <c r="G43" s="16">
        <v>45719</v>
      </c>
      <c r="H43">
        <v>7085</v>
      </c>
      <c r="I43">
        <v>8504</v>
      </c>
      <c r="K43">
        <v>7511</v>
      </c>
      <c r="L43">
        <v>23100</v>
      </c>
    </row>
    <row r="44" spans="7:12" x14ac:dyDescent="0.25">
      <c r="G44" s="16">
        <v>45726</v>
      </c>
      <c r="H44">
        <v>9551</v>
      </c>
      <c r="I44">
        <v>2827</v>
      </c>
      <c r="J44">
        <v>3376</v>
      </c>
      <c r="K44">
        <v>4009</v>
      </c>
      <c r="L44">
        <v>19763</v>
      </c>
    </row>
    <row r="45" spans="7:12" x14ac:dyDescent="0.25">
      <c r="G45" s="16">
        <v>45733</v>
      </c>
      <c r="I45">
        <v>21174</v>
      </c>
      <c r="J45">
        <v>9569</v>
      </c>
      <c r="L45">
        <v>30743</v>
      </c>
    </row>
    <row r="46" spans="7:12" x14ac:dyDescent="0.25">
      <c r="G46" s="16">
        <v>45740</v>
      </c>
      <c r="I46">
        <v>22600</v>
      </c>
      <c r="K46">
        <v>4747</v>
      </c>
      <c r="L46">
        <v>27347</v>
      </c>
    </row>
    <row r="47" spans="7:12" x14ac:dyDescent="0.25">
      <c r="G47" s="16">
        <v>45747</v>
      </c>
      <c r="H47">
        <v>6978</v>
      </c>
      <c r="I47">
        <v>1780</v>
      </c>
      <c r="J47">
        <v>6607</v>
      </c>
      <c r="K47">
        <v>1769</v>
      </c>
      <c r="L47">
        <v>17134</v>
      </c>
    </row>
    <row r="48" spans="7:12" x14ac:dyDescent="0.25">
      <c r="G48" s="16">
        <v>45754</v>
      </c>
      <c r="H48">
        <v>9714</v>
      </c>
      <c r="I48">
        <v>4983</v>
      </c>
      <c r="J48">
        <v>1521</v>
      </c>
      <c r="K48">
        <v>7303</v>
      </c>
      <c r="L48">
        <v>23521</v>
      </c>
    </row>
    <row r="49" spans="7:12" x14ac:dyDescent="0.25">
      <c r="G49" s="16">
        <v>45761</v>
      </c>
      <c r="I49">
        <v>27882</v>
      </c>
      <c r="L49">
        <v>27882</v>
      </c>
    </row>
    <row r="50" spans="7:12" x14ac:dyDescent="0.25">
      <c r="G50" s="16">
        <v>45768</v>
      </c>
      <c r="H50">
        <v>8128</v>
      </c>
      <c r="J50">
        <v>16669</v>
      </c>
      <c r="L50">
        <v>24797</v>
      </c>
    </row>
    <row r="51" spans="7:12" x14ac:dyDescent="0.25">
      <c r="G51" s="16">
        <v>45775</v>
      </c>
      <c r="H51">
        <v>17532</v>
      </c>
      <c r="I51">
        <v>1685</v>
      </c>
      <c r="L51">
        <v>19217</v>
      </c>
    </row>
    <row r="52" spans="7:12" x14ac:dyDescent="0.25">
      <c r="G52" s="16">
        <v>45782</v>
      </c>
      <c r="I52">
        <v>3294</v>
      </c>
      <c r="J52">
        <v>8697</v>
      </c>
      <c r="K52">
        <v>5875</v>
      </c>
      <c r="L52">
        <v>17866</v>
      </c>
    </row>
    <row r="53" spans="7:12" x14ac:dyDescent="0.25">
      <c r="G53" s="16">
        <v>45789</v>
      </c>
      <c r="H53">
        <v>8527</v>
      </c>
      <c r="I53">
        <v>9466</v>
      </c>
      <c r="J53">
        <v>3196</v>
      </c>
      <c r="L53">
        <v>21189</v>
      </c>
    </row>
    <row r="54" spans="7:12" x14ac:dyDescent="0.25">
      <c r="G54" s="5" t="s">
        <v>363</v>
      </c>
      <c r="H54">
        <v>338307</v>
      </c>
      <c r="I54">
        <v>320378</v>
      </c>
      <c r="J54">
        <v>290063</v>
      </c>
      <c r="K54">
        <v>256440</v>
      </c>
      <c r="L54">
        <v>1205188</v>
      </c>
    </row>
  </sheetData>
  <mergeCells count="3">
    <mergeCell ref="A1:B1"/>
    <mergeCell ref="G1:H1"/>
    <mergeCell ref="A19:B19"/>
  </mergeCell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D142-F839-4FE5-9E34-E852958ABA55}">
  <dimension ref="A1:P31"/>
  <sheetViews>
    <sheetView topLeftCell="A13" workbookViewId="0">
      <selection activeCell="H33" sqref="H3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3.5703125" bestFit="1" customWidth="1"/>
    <col min="4" max="4" width="17.42578125" bestFit="1" customWidth="1"/>
    <col min="5" max="5" width="12" bestFit="1" customWidth="1"/>
    <col min="6" max="6" width="13.5703125" bestFit="1" customWidth="1"/>
    <col min="7" max="7" width="17.42578125" bestFit="1" customWidth="1"/>
    <col min="8" max="8" width="16.140625" bestFit="1" customWidth="1"/>
    <col min="9" max="9" width="13.5703125" bestFit="1" customWidth="1"/>
    <col min="10" max="10" width="17.42578125" bestFit="1" customWidth="1"/>
    <col min="11" max="11" width="12" bestFit="1" customWidth="1"/>
    <col min="12" max="12" width="13.5703125" bestFit="1" customWidth="1"/>
    <col min="13" max="13" width="17.42578125" bestFit="1" customWidth="1"/>
    <col min="14" max="14" width="17" bestFit="1" customWidth="1"/>
    <col min="15" max="15" width="18.5703125" bestFit="1" customWidth="1"/>
    <col min="16" max="16" width="22.42578125" bestFit="1" customWidth="1"/>
  </cols>
  <sheetData>
    <row r="1" spans="1:8" x14ac:dyDescent="0.25">
      <c r="A1" s="38" t="s">
        <v>380</v>
      </c>
      <c r="B1" s="38"/>
      <c r="E1" s="15"/>
      <c r="F1" s="35" t="s">
        <v>381</v>
      </c>
      <c r="G1" s="35"/>
    </row>
    <row r="2" spans="1:8" x14ac:dyDescent="0.25">
      <c r="A2" s="4" t="s">
        <v>362</v>
      </c>
      <c r="B2" t="s">
        <v>379</v>
      </c>
      <c r="F2" s="4" t="s">
        <v>362</v>
      </c>
      <c r="G2" t="s">
        <v>378</v>
      </c>
      <c r="H2" t="s">
        <v>372</v>
      </c>
    </row>
    <row r="3" spans="1:8" x14ac:dyDescent="0.25">
      <c r="A3" s="5" t="s">
        <v>350</v>
      </c>
      <c r="B3">
        <v>51</v>
      </c>
      <c r="F3" s="5" t="s">
        <v>356</v>
      </c>
      <c r="G3" s="9">
        <v>15420.51724137931</v>
      </c>
      <c r="H3" s="9">
        <v>1811.3103448275863</v>
      </c>
    </row>
    <row r="4" spans="1:8" x14ac:dyDescent="0.25">
      <c r="A4" s="5" t="s">
        <v>354</v>
      </c>
      <c r="B4">
        <v>37</v>
      </c>
      <c r="F4" s="5" t="s">
        <v>27</v>
      </c>
      <c r="G4" s="9">
        <v>14377.6875</v>
      </c>
      <c r="H4" s="9">
        <v>1592.9375</v>
      </c>
    </row>
    <row r="5" spans="1:8" x14ac:dyDescent="0.25">
      <c r="A5" s="5" t="s">
        <v>352</v>
      </c>
      <c r="B5">
        <v>34</v>
      </c>
      <c r="F5" s="5" t="s">
        <v>354</v>
      </c>
      <c r="G5" s="9">
        <v>13986.108108108108</v>
      </c>
      <c r="H5" s="9">
        <v>1711.5135135135135</v>
      </c>
    </row>
    <row r="6" spans="1:8" x14ac:dyDescent="0.25">
      <c r="A6" s="5" t="s">
        <v>356</v>
      </c>
      <c r="B6">
        <v>29</v>
      </c>
      <c r="F6" s="5" t="s">
        <v>359</v>
      </c>
      <c r="G6">
        <v>13856.76</v>
      </c>
      <c r="H6">
        <v>1706.76</v>
      </c>
    </row>
    <row r="7" spans="1:8" x14ac:dyDescent="0.25">
      <c r="A7" s="5" t="s">
        <v>346</v>
      </c>
      <c r="B7">
        <v>28</v>
      </c>
      <c r="F7" s="5" t="s">
        <v>350</v>
      </c>
      <c r="G7" s="9">
        <v>13787.058823529413</v>
      </c>
      <c r="H7" s="9">
        <v>1541.3725490196077</v>
      </c>
    </row>
    <row r="8" spans="1:8" x14ac:dyDescent="0.25">
      <c r="A8" s="5" t="s">
        <v>348</v>
      </c>
      <c r="B8">
        <v>25</v>
      </c>
      <c r="F8" s="5" t="s">
        <v>352</v>
      </c>
      <c r="G8" s="9">
        <v>13437.176470588236</v>
      </c>
      <c r="H8" s="9">
        <v>1463.2941176470588</v>
      </c>
    </row>
    <row r="9" spans="1:8" x14ac:dyDescent="0.25">
      <c r="A9" s="5" t="s">
        <v>344</v>
      </c>
      <c r="B9">
        <v>25</v>
      </c>
      <c r="F9" s="5" t="s">
        <v>348</v>
      </c>
      <c r="G9" s="9">
        <v>13327.8</v>
      </c>
      <c r="H9">
        <v>1592.72</v>
      </c>
    </row>
    <row r="10" spans="1:8" x14ac:dyDescent="0.25">
      <c r="A10" s="5" t="s">
        <v>359</v>
      </c>
      <c r="B10">
        <v>25</v>
      </c>
      <c r="F10" s="5" t="s">
        <v>344</v>
      </c>
      <c r="G10">
        <v>13057.88</v>
      </c>
      <c r="H10">
        <v>1674.96</v>
      </c>
    </row>
    <row r="11" spans="1:8" x14ac:dyDescent="0.25">
      <c r="A11" s="5" t="s">
        <v>54</v>
      </c>
      <c r="B11">
        <v>17</v>
      </c>
      <c r="F11" s="5" t="s">
        <v>346</v>
      </c>
      <c r="G11" s="9">
        <v>13015.321428571429</v>
      </c>
      <c r="H11" s="9">
        <v>1680.3571428571429</v>
      </c>
    </row>
    <row r="12" spans="1:8" x14ac:dyDescent="0.25">
      <c r="A12" s="5" t="s">
        <v>27</v>
      </c>
      <c r="B12">
        <v>16</v>
      </c>
      <c r="F12" s="5" t="s">
        <v>54</v>
      </c>
      <c r="G12" s="9">
        <v>12777.235294117647</v>
      </c>
      <c r="H12" s="9">
        <v>1289.4117647058824</v>
      </c>
    </row>
    <row r="13" spans="1:8" x14ac:dyDescent="0.25">
      <c r="A13" s="5" t="s">
        <v>360</v>
      </c>
      <c r="B13">
        <v>13</v>
      </c>
      <c r="F13" s="5" t="s">
        <v>360</v>
      </c>
      <c r="G13" s="9">
        <v>9616.3076923076915</v>
      </c>
      <c r="H13" s="9">
        <v>1459.3076923076924</v>
      </c>
    </row>
    <row r="14" spans="1:8" x14ac:dyDescent="0.25">
      <c r="A14" s="5" t="s">
        <v>363</v>
      </c>
      <c r="B14">
        <v>300</v>
      </c>
      <c r="F14" s="5" t="s">
        <v>363</v>
      </c>
      <c r="G14" s="9">
        <v>13558.143333333333</v>
      </c>
      <c r="H14" s="9">
        <v>1606.6833333333334</v>
      </c>
    </row>
    <row r="24" spans="1:16" x14ac:dyDescent="0.25">
      <c r="A24" s="36" t="s">
        <v>393</v>
      </c>
      <c r="B24" s="36"/>
    </row>
    <row r="25" spans="1:16" x14ac:dyDescent="0.25">
      <c r="B25" s="4" t="s">
        <v>368</v>
      </c>
    </row>
    <row r="26" spans="1:16" x14ac:dyDescent="0.25">
      <c r="B26" t="s">
        <v>19</v>
      </c>
      <c r="E26" t="s">
        <v>16</v>
      </c>
      <c r="H26" t="s">
        <v>33</v>
      </c>
      <c r="K26" t="s">
        <v>12</v>
      </c>
      <c r="N26" t="s">
        <v>369</v>
      </c>
      <c r="O26" t="s">
        <v>370</v>
      </c>
      <c r="P26" t="s">
        <v>371</v>
      </c>
    </row>
    <row r="27" spans="1:16" x14ac:dyDescent="0.25">
      <c r="A27" s="4" t="s">
        <v>362</v>
      </c>
      <c r="B27" t="s">
        <v>366</v>
      </c>
      <c r="C27" t="s">
        <v>364</v>
      </c>
      <c r="D27" t="s">
        <v>365</v>
      </c>
      <c r="E27" t="s">
        <v>366</v>
      </c>
      <c r="F27" t="s">
        <v>364</v>
      </c>
      <c r="G27" t="s">
        <v>365</v>
      </c>
      <c r="H27" t="s">
        <v>366</v>
      </c>
      <c r="I27" t="s">
        <v>364</v>
      </c>
      <c r="J27" t="s">
        <v>365</v>
      </c>
      <c r="K27" t="s">
        <v>366</v>
      </c>
      <c r="L27" t="s">
        <v>364</v>
      </c>
      <c r="M27" t="s">
        <v>365</v>
      </c>
    </row>
    <row r="28" spans="1:16" x14ac:dyDescent="0.25">
      <c r="A28" s="5" t="s">
        <v>29</v>
      </c>
      <c r="B28">
        <v>278757</v>
      </c>
      <c r="C28">
        <v>16508</v>
      </c>
      <c r="D28">
        <v>13676</v>
      </c>
      <c r="E28">
        <v>246297</v>
      </c>
      <c r="F28">
        <v>18856</v>
      </c>
      <c r="G28">
        <v>12611</v>
      </c>
      <c r="H28">
        <v>394886</v>
      </c>
      <c r="I28">
        <v>21298</v>
      </c>
      <c r="J28">
        <v>14381</v>
      </c>
      <c r="K28">
        <v>279732</v>
      </c>
      <c r="L28">
        <v>24668</v>
      </c>
      <c r="M28">
        <v>13714</v>
      </c>
      <c r="N28">
        <v>1199672</v>
      </c>
      <c r="O28">
        <v>81330</v>
      </c>
      <c r="P28">
        <v>54382</v>
      </c>
    </row>
    <row r="29" spans="1:16" x14ac:dyDescent="0.25">
      <c r="A29" s="5" t="s">
        <v>23</v>
      </c>
      <c r="B29">
        <v>244355</v>
      </c>
      <c r="C29">
        <v>13194</v>
      </c>
      <c r="D29">
        <v>7426</v>
      </c>
      <c r="E29">
        <v>278759</v>
      </c>
      <c r="F29">
        <v>14236</v>
      </c>
      <c r="G29">
        <v>11770</v>
      </c>
      <c r="H29">
        <v>244756</v>
      </c>
      <c r="I29">
        <v>14669</v>
      </c>
      <c r="J29">
        <v>9640</v>
      </c>
      <c r="K29">
        <v>286318</v>
      </c>
      <c r="L29">
        <v>18052</v>
      </c>
      <c r="M29">
        <v>12537</v>
      </c>
      <c r="N29">
        <v>1054188</v>
      </c>
      <c r="O29">
        <v>60151</v>
      </c>
      <c r="P29">
        <v>41373</v>
      </c>
    </row>
    <row r="30" spans="1:16" x14ac:dyDescent="0.25">
      <c r="A30" s="5" t="s">
        <v>13</v>
      </c>
      <c r="B30">
        <v>218031</v>
      </c>
      <c r="C30">
        <v>18753</v>
      </c>
      <c r="D30">
        <v>10389</v>
      </c>
      <c r="E30">
        <v>329722</v>
      </c>
      <c r="F30">
        <v>19905</v>
      </c>
      <c r="G30">
        <v>14305</v>
      </c>
      <c r="H30">
        <v>148676</v>
      </c>
      <c r="I30">
        <v>7832</v>
      </c>
      <c r="J30">
        <v>6092</v>
      </c>
      <c r="K30">
        <v>195079</v>
      </c>
      <c r="L30">
        <v>10604</v>
      </c>
      <c r="M30">
        <v>8277</v>
      </c>
      <c r="N30">
        <v>891508</v>
      </c>
      <c r="O30">
        <v>57094</v>
      </c>
      <c r="P30">
        <v>39063</v>
      </c>
    </row>
    <row r="31" spans="1:16" x14ac:dyDescent="0.25">
      <c r="A31" s="5" t="s">
        <v>363</v>
      </c>
      <c r="B31">
        <v>741143</v>
      </c>
      <c r="C31">
        <v>48455</v>
      </c>
      <c r="D31">
        <v>31491</v>
      </c>
      <c r="E31">
        <v>854778</v>
      </c>
      <c r="F31">
        <v>52997</v>
      </c>
      <c r="G31">
        <v>38686</v>
      </c>
      <c r="H31">
        <v>788318</v>
      </c>
      <c r="I31">
        <v>43799</v>
      </c>
      <c r="J31">
        <v>30113</v>
      </c>
      <c r="K31">
        <v>761129</v>
      </c>
      <c r="L31">
        <v>53324</v>
      </c>
      <c r="M31">
        <v>34528</v>
      </c>
      <c r="N31">
        <v>3145368</v>
      </c>
      <c r="O31">
        <v>198575</v>
      </c>
      <c r="P31">
        <v>134818</v>
      </c>
    </row>
  </sheetData>
  <mergeCells count="3">
    <mergeCell ref="F1:G1"/>
    <mergeCell ref="A24:B24"/>
    <mergeCell ref="A1:B1"/>
  </mergeCell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6178-AB0D-452A-9DBC-8BD6130E6C15}">
  <dimension ref="A1:K8"/>
  <sheetViews>
    <sheetView workbookViewId="0">
      <selection activeCell="J1" sqref="J1"/>
    </sheetView>
  </sheetViews>
  <sheetFormatPr defaultRowHeight="15" x14ac:dyDescent="0.25"/>
  <cols>
    <col min="1" max="1" width="28.85546875" bestFit="1" customWidth="1"/>
    <col min="2" max="2" width="12" bestFit="1" customWidth="1"/>
    <col min="3" max="3" width="12.5703125" bestFit="1" customWidth="1"/>
    <col min="4" max="4" width="18.5703125" bestFit="1" customWidth="1"/>
    <col min="5" max="5" width="15.5703125" bestFit="1" customWidth="1"/>
    <col min="6" max="6" width="16.140625" bestFit="1" customWidth="1"/>
    <col min="7" max="7" width="22.140625" bestFit="1" customWidth="1"/>
    <col min="10" max="10" width="28.85546875" bestFit="1" customWidth="1"/>
    <col min="11" max="11" width="25.28515625" bestFit="1" customWidth="1"/>
  </cols>
  <sheetData>
    <row r="1" spans="1:11" x14ac:dyDescent="0.25">
      <c r="A1" s="19" t="s">
        <v>394</v>
      </c>
      <c r="B1" s="13"/>
      <c r="C1" s="13"/>
      <c r="J1" s="4" t="s">
        <v>362</v>
      </c>
      <c r="K1" t="s">
        <v>384</v>
      </c>
    </row>
    <row r="2" spans="1:11" x14ac:dyDescent="0.25">
      <c r="A2" s="4" t="s">
        <v>362</v>
      </c>
      <c r="B2" t="s">
        <v>366</v>
      </c>
      <c r="C2" t="s">
        <v>382</v>
      </c>
      <c r="D2" t="s">
        <v>383</v>
      </c>
      <c r="E2" t="s">
        <v>378</v>
      </c>
      <c r="F2" t="s">
        <v>372</v>
      </c>
      <c r="G2" t="s">
        <v>385</v>
      </c>
      <c r="J2" s="5" t="s">
        <v>14</v>
      </c>
      <c r="K2" s="17">
        <v>0.13683820377947525</v>
      </c>
    </row>
    <row r="3" spans="1:11" x14ac:dyDescent="0.25">
      <c r="A3" s="5" t="s">
        <v>17</v>
      </c>
      <c r="B3" s="9">
        <v>957050</v>
      </c>
      <c r="C3" s="9">
        <v>114854</v>
      </c>
      <c r="D3" s="9">
        <v>10331022</v>
      </c>
      <c r="E3" s="9">
        <v>13870.289855072464</v>
      </c>
      <c r="F3" s="9">
        <v>1664.5507246376812</v>
      </c>
      <c r="G3" s="9">
        <v>149724.95652173914</v>
      </c>
      <c r="J3" s="5" t="s">
        <v>24</v>
      </c>
      <c r="K3" s="17">
        <v>0.12196384626120534</v>
      </c>
    </row>
    <row r="4" spans="1:11" x14ac:dyDescent="0.25">
      <c r="A4" s="5" t="s">
        <v>14</v>
      </c>
      <c r="B4" s="9">
        <v>888529</v>
      </c>
      <c r="C4" s="9">
        <v>106775</v>
      </c>
      <c r="D4" s="9">
        <v>9407749</v>
      </c>
      <c r="E4" s="9">
        <v>12877.231884057972</v>
      </c>
      <c r="F4" s="9">
        <v>1547.463768115942</v>
      </c>
      <c r="G4" s="9">
        <v>136344.18840579709</v>
      </c>
      <c r="J4" s="5" t="s">
        <v>17</v>
      </c>
      <c r="K4" s="17">
        <v>0.12042552997462412</v>
      </c>
    </row>
    <row r="5" spans="1:11" x14ac:dyDescent="0.25">
      <c r="A5" s="5" t="s">
        <v>24</v>
      </c>
      <c r="B5" s="9">
        <v>843431</v>
      </c>
      <c r="C5" s="9">
        <v>96543</v>
      </c>
      <c r="D5" s="9">
        <v>8901334</v>
      </c>
      <c r="E5" s="9">
        <v>14295.440677966102</v>
      </c>
      <c r="F5" s="9">
        <v>1636.3220338983051</v>
      </c>
      <c r="G5" s="9">
        <v>150870.06779661018</v>
      </c>
      <c r="J5" s="5" t="s">
        <v>37</v>
      </c>
      <c r="K5" s="17">
        <v>0.11861255274661911</v>
      </c>
    </row>
    <row r="6" spans="1:11" x14ac:dyDescent="0.25">
      <c r="A6" s="5" t="s">
        <v>21</v>
      </c>
      <c r="B6" s="9">
        <v>792463</v>
      </c>
      <c r="C6" s="9">
        <v>89166</v>
      </c>
      <c r="D6" s="9">
        <v>9222999</v>
      </c>
      <c r="E6" s="9">
        <v>13902.859649122807</v>
      </c>
      <c r="F6" s="9">
        <v>1564.3157894736842</v>
      </c>
      <c r="G6" s="9">
        <v>161807</v>
      </c>
      <c r="J6" s="5" t="s">
        <v>21</v>
      </c>
      <c r="K6" s="17">
        <v>0.11314309212807619</v>
      </c>
    </row>
    <row r="7" spans="1:11" x14ac:dyDescent="0.25">
      <c r="A7" s="5" t="s">
        <v>37</v>
      </c>
      <c r="B7" s="9">
        <v>585970</v>
      </c>
      <c r="C7" s="9">
        <v>74667</v>
      </c>
      <c r="D7" s="9">
        <v>6698763</v>
      </c>
      <c r="E7" s="9">
        <v>12738.478260869566</v>
      </c>
      <c r="F7" s="9">
        <v>1623.195652173913</v>
      </c>
      <c r="G7" s="9">
        <v>145625.28260869565</v>
      </c>
      <c r="J7" s="5" t="s">
        <v>363</v>
      </c>
      <c r="K7" s="17">
        <v>0.12284132745362941</v>
      </c>
    </row>
    <row r="8" spans="1:11" x14ac:dyDescent="0.25">
      <c r="A8" s="5" t="s">
        <v>363</v>
      </c>
      <c r="B8" s="9">
        <v>4067443</v>
      </c>
      <c r="C8" s="9">
        <v>482005</v>
      </c>
      <c r="D8" s="9">
        <v>44561867</v>
      </c>
      <c r="E8" s="9">
        <v>13558.143333333333</v>
      </c>
      <c r="F8" s="9">
        <v>1606.6833333333334</v>
      </c>
      <c r="G8" s="9">
        <v>148539.55666666667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939D-88CF-42F7-8461-A3FAE447720F}">
  <dimension ref="A2:U54"/>
  <sheetViews>
    <sheetView workbookViewId="0">
      <selection activeCell="Q3" sqref="Q3"/>
    </sheetView>
  </sheetViews>
  <sheetFormatPr defaultRowHeight="15" x14ac:dyDescent="0.25"/>
  <cols>
    <col min="1" max="1" width="21.85546875" bestFit="1" customWidth="1"/>
    <col min="2" max="2" width="16.28515625" bestFit="1" customWidth="1"/>
    <col min="3" max="3" width="8.5703125" bestFit="1" customWidth="1"/>
    <col min="4" max="4" width="7.42578125" bestFit="1" customWidth="1"/>
    <col min="5" max="5" width="8.85546875" bestFit="1" customWidth="1"/>
    <col min="6" max="7" width="11.28515625" bestFit="1" customWidth="1"/>
    <col min="17" max="17" width="21.85546875" bestFit="1" customWidth="1"/>
    <col min="18" max="18" width="16.28515625" bestFit="1" customWidth="1"/>
    <col min="19" max="19" width="8.5703125" bestFit="1" customWidth="1"/>
    <col min="20" max="20" width="7.42578125" bestFit="1" customWidth="1"/>
    <col min="21" max="21" width="8.85546875" bestFit="1" customWidth="1"/>
    <col min="22" max="23" width="8.7109375" bestFit="1" customWidth="1"/>
    <col min="24" max="26" width="9.7109375" bestFit="1" customWidth="1"/>
    <col min="27" max="27" width="8.7109375" bestFit="1" customWidth="1"/>
    <col min="28" max="30" width="9.7109375" bestFit="1" customWidth="1"/>
    <col min="31" max="32" width="8.7109375" bestFit="1" customWidth="1"/>
    <col min="33" max="36" width="9.7109375" bestFit="1" customWidth="1"/>
    <col min="37" max="39" width="10.7109375" bestFit="1" customWidth="1"/>
    <col min="40" max="40" width="9.7109375" bestFit="1" customWidth="1"/>
    <col min="41" max="43" width="10.7109375" bestFit="1" customWidth="1"/>
    <col min="44" max="45" width="9.7109375" bestFit="1" customWidth="1"/>
    <col min="46" max="48" width="10.7109375" bestFit="1" customWidth="1"/>
    <col min="49" max="49" width="8.7109375" bestFit="1" customWidth="1"/>
    <col min="50" max="52" width="9.7109375" bestFit="1" customWidth="1"/>
    <col min="53" max="53" width="8.7109375" bestFit="1" customWidth="1"/>
    <col min="54" max="56" width="9.7109375" bestFit="1" customWidth="1"/>
    <col min="57" max="57" width="8.7109375" bestFit="1" customWidth="1"/>
    <col min="58" max="61" width="9.7109375" bestFit="1" customWidth="1"/>
    <col min="62" max="62" width="8.7109375" bestFit="1" customWidth="1"/>
    <col min="63" max="65" width="9.7109375" bestFit="1" customWidth="1"/>
    <col min="66" max="66" width="8.7109375" bestFit="1" customWidth="1"/>
    <col min="67" max="67" width="9.7109375" bestFit="1" customWidth="1"/>
  </cols>
  <sheetData>
    <row r="2" spans="1:21" x14ac:dyDescent="0.25">
      <c r="A2" s="4" t="s">
        <v>375</v>
      </c>
      <c r="B2" s="4" t="s">
        <v>368</v>
      </c>
    </row>
    <row r="3" spans="1:21" x14ac:dyDescent="0.25">
      <c r="A3" s="4" t="s">
        <v>362</v>
      </c>
      <c r="B3" t="s">
        <v>19</v>
      </c>
      <c r="C3" t="s">
        <v>16</v>
      </c>
      <c r="D3" t="s">
        <v>33</v>
      </c>
      <c r="E3" t="s">
        <v>12</v>
      </c>
      <c r="Q3" s="4" t="s">
        <v>375</v>
      </c>
      <c r="R3" s="4" t="s">
        <v>368</v>
      </c>
    </row>
    <row r="4" spans="1:21" x14ac:dyDescent="0.25">
      <c r="A4" s="30">
        <v>45446</v>
      </c>
      <c r="B4">
        <v>4138</v>
      </c>
      <c r="C4">
        <v>0</v>
      </c>
      <c r="D4">
        <v>8693</v>
      </c>
      <c r="E4">
        <v>18106</v>
      </c>
      <c r="Q4" s="4" t="s">
        <v>362</v>
      </c>
      <c r="R4" t="s">
        <v>19</v>
      </c>
      <c r="S4" t="s">
        <v>16</v>
      </c>
      <c r="T4" t="s">
        <v>33</v>
      </c>
      <c r="U4" t="s">
        <v>12</v>
      </c>
    </row>
    <row r="5" spans="1:21" x14ac:dyDescent="0.25">
      <c r="A5" s="30">
        <v>45453</v>
      </c>
      <c r="B5">
        <v>7721</v>
      </c>
      <c r="C5">
        <v>0</v>
      </c>
      <c r="D5">
        <v>9203</v>
      </c>
      <c r="E5">
        <v>8002</v>
      </c>
      <c r="Q5" s="30">
        <v>45446</v>
      </c>
      <c r="R5">
        <v>4138</v>
      </c>
      <c r="S5">
        <v>0</v>
      </c>
      <c r="T5">
        <v>8693</v>
      </c>
      <c r="U5">
        <v>18106</v>
      </c>
    </row>
    <row r="6" spans="1:21" x14ac:dyDescent="0.25">
      <c r="A6" s="30">
        <v>45460</v>
      </c>
      <c r="B6">
        <v>15029</v>
      </c>
      <c r="C6">
        <v>7097</v>
      </c>
      <c r="D6">
        <v>6907</v>
      </c>
      <c r="E6">
        <v>0</v>
      </c>
      <c r="Q6" s="30">
        <v>45453</v>
      </c>
      <c r="R6">
        <v>7721</v>
      </c>
      <c r="S6">
        <v>0</v>
      </c>
      <c r="T6">
        <v>9203</v>
      </c>
      <c r="U6">
        <v>8002</v>
      </c>
    </row>
    <row r="7" spans="1:21" x14ac:dyDescent="0.25">
      <c r="A7" s="30">
        <v>45467</v>
      </c>
      <c r="B7">
        <v>5259</v>
      </c>
      <c r="C7">
        <v>0</v>
      </c>
      <c r="D7">
        <v>16885</v>
      </c>
      <c r="E7">
        <v>9286</v>
      </c>
      <c r="Q7" s="30">
        <v>45460</v>
      </c>
      <c r="R7">
        <v>15029</v>
      </c>
      <c r="S7">
        <v>7097</v>
      </c>
      <c r="T7">
        <v>6907</v>
      </c>
      <c r="U7">
        <v>0</v>
      </c>
    </row>
    <row r="8" spans="1:21" x14ac:dyDescent="0.25">
      <c r="A8" s="30">
        <v>45474</v>
      </c>
      <c r="B8">
        <v>6490</v>
      </c>
      <c r="C8">
        <v>5917</v>
      </c>
      <c r="D8">
        <v>9429</v>
      </c>
      <c r="E8">
        <v>0</v>
      </c>
      <c r="Q8" s="30">
        <v>45467</v>
      </c>
      <c r="R8">
        <v>5259</v>
      </c>
      <c r="S8">
        <v>0</v>
      </c>
      <c r="T8">
        <v>16885</v>
      </c>
      <c r="U8">
        <v>9286</v>
      </c>
    </row>
    <row r="9" spans="1:21" x14ac:dyDescent="0.25">
      <c r="A9" s="30">
        <v>45481</v>
      </c>
      <c r="B9">
        <v>0</v>
      </c>
      <c r="C9">
        <v>12349</v>
      </c>
      <c r="D9">
        <v>8045</v>
      </c>
      <c r="E9">
        <v>0</v>
      </c>
      <c r="Q9" s="30">
        <v>45474</v>
      </c>
      <c r="R9">
        <v>6490</v>
      </c>
      <c r="S9">
        <v>5917</v>
      </c>
      <c r="T9">
        <v>9429</v>
      </c>
      <c r="U9">
        <v>0</v>
      </c>
    </row>
    <row r="10" spans="1:21" x14ac:dyDescent="0.25">
      <c r="A10" s="30">
        <v>45488</v>
      </c>
      <c r="B10">
        <v>5500</v>
      </c>
      <c r="C10">
        <v>0</v>
      </c>
      <c r="D10">
        <v>8137</v>
      </c>
      <c r="E10">
        <v>1963</v>
      </c>
      <c r="Q10" s="30">
        <v>45481</v>
      </c>
      <c r="R10">
        <v>0</v>
      </c>
      <c r="S10">
        <v>12349</v>
      </c>
      <c r="T10">
        <v>8045</v>
      </c>
      <c r="U10">
        <v>0</v>
      </c>
    </row>
    <row r="11" spans="1:21" x14ac:dyDescent="0.25">
      <c r="A11" s="30">
        <v>45495</v>
      </c>
      <c r="B11">
        <v>0</v>
      </c>
      <c r="C11">
        <v>17307</v>
      </c>
      <c r="D11">
        <v>8179</v>
      </c>
      <c r="E11">
        <v>9734</v>
      </c>
      <c r="Q11" s="30">
        <v>45488</v>
      </c>
      <c r="R11">
        <v>5500</v>
      </c>
      <c r="S11">
        <v>0</v>
      </c>
      <c r="T11">
        <v>8137</v>
      </c>
      <c r="U11">
        <v>1963</v>
      </c>
    </row>
    <row r="12" spans="1:21" x14ac:dyDescent="0.25">
      <c r="A12" s="30">
        <v>45502</v>
      </c>
      <c r="B12">
        <v>0</v>
      </c>
      <c r="C12">
        <v>8622</v>
      </c>
      <c r="D12">
        <v>6947</v>
      </c>
      <c r="E12">
        <v>4036</v>
      </c>
      <c r="Q12" s="30">
        <v>45495</v>
      </c>
      <c r="R12">
        <v>0</v>
      </c>
      <c r="S12">
        <v>17307</v>
      </c>
      <c r="T12">
        <v>8179</v>
      </c>
      <c r="U12">
        <v>9734</v>
      </c>
    </row>
    <row r="13" spans="1:21" x14ac:dyDescent="0.25">
      <c r="A13" s="30">
        <v>45509</v>
      </c>
      <c r="B13">
        <v>3494</v>
      </c>
      <c r="C13">
        <v>5349</v>
      </c>
      <c r="D13">
        <v>3719</v>
      </c>
      <c r="E13">
        <v>2884</v>
      </c>
      <c r="Q13" s="30">
        <v>45502</v>
      </c>
      <c r="R13">
        <v>0</v>
      </c>
      <c r="S13">
        <v>8622</v>
      </c>
      <c r="T13">
        <v>6947</v>
      </c>
      <c r="U13">
        <v>4036</v>
      </c>
    </row>
    <row r="14" spans="1:21" x14ac:dyDescent="0.25">
      <c r="A14" s="30">
        <v>45516</v>
      </c>
      <c r="B14">
        <v>7610</v>
      </c>
      <c r="C14">
        <v>0</v>
      </c>
      <c r="D14">
        <v>14333</v>
      </c>
      <c r="E14">
        <v>7430</v>
      </c>
      <c r="Q14" s="30">
        <v>45509</v>
      </c>
      <c r="R14">
        <v>3494</v>
      </c>
      <c r="S14">
        <v>5349</v>
      </c>
      <c r="T14">
        <v>3719</v>
      </c>
      <c r="U14">
        <v>2884</v>
      </c>
    </row>
    <row r="15" spans="1:21" x14ac:dyDescent="0.25">
      <c r="A15" s="30">
        <v>45523</v>
      </c>
      <c r="B15">
        <v>15013</v>
      </c>
      <c r="C15">
        <v>0</v>
      </c>
      <c r="D15">
        <v>0</v>
      </c>
      <c r="E15">
        <v>10587</v>
      </c>
      <c r="Q15" s="30">
        <v>45516</v>
      </c>
      <c r="R15">
        <v>7610</v>
      </c>
      <c r="S15">
        <v>0</v>
      </c>
      <c r="T15">
        <v>14333</v>
      </c>
      <c r="U15">
        <v>7430</v>
      </c>
    </row>
    <row r="16" spans="1:21" x14ac:dyDescent="0.25">
      <c r="A16" s="30">
        <v>45530</v>
      </c>
      <c r="B16">
        <v>9648</v>
      </c>
      <c r="C16">
        <v>1689</v>
      </c>
      <c r="D16">
        <v>6175</v>
      </c>
      <c r="E16">
        <v>6078</v>
      </c>
      <c r="Q16" s="30">
        <v>45523</v>
      </c>
      <c r="R16">
        <v>15013</v>
      </c>
      <c r="S16">
        <v>0</v>
      </c>
      <c r="T16">
        <v>0</v>
      </c>
      <c r="U16">
        <v>10587</v>
      </c>
    </row>
    <row r="17" spans="1:21" x14ac:dyDescent="0.25">
      <c r="A17" s="30">
        <v>45537</v>
      </c>
      <c r="B17">
        <v>8627</v>
      </c>
      <c r="C17">
        <v>9591</v>
      </c>
      <c r="D17">
        <v>7406</v>
      </c>
      <c r="E17">
        <v>0</v>
      </c>
      <c r="Q17" s="30">
        <v>45530</v>
      </c>
      <c r="R17">
        <v>9648</v>
      </c>
      <c r="S17">
        <v>1689</v>
      </c>
      <c r="T17">
        <v>6175</v>
      </c>
      <c r="U17">
        <v>6078</v>
      </c>
    </row>
    <row r="18" spans="1:21" x14ac:dyDescent="0.25">
      <c r="A18" s="30">
        <v>45544</v>
      </c>
      <c r="B18">
        <v>7907</v>
      </c>
      <c r="C18">
        <v>6671</v>
      </c>
      <c r="D18">
        <v>0</v>
      </c>
      <c r="E18">
        <v>12438</v>
      </c>
      <c r="Q18" s="30">
        <v>45537</v>
      </c>
      <c r="R18">
        <v>8627</v>
      </c>
      <c r="S18">
        <v>9591</v>
      </c>
      <c r="T18">
        <v>7406</v>
      </c>
      <c r="U18">
        <v>0</v>
      </c>
    </row>
    <row r="19" spans="1:21" x14ac:dyDescent="0.25">
      <c r="A19" s="30">
        <v>45551</v>
      </c>
      <c r="B19">
        <v>0</v>
      </c>
      <c r="C19">
        <v>2382</v>
      </c>
      <c r="D19">
        <v>4292</v>
      </c>
      <c r="E19">
        <v>10331</v>
      </c>
      <c r="Q19" s="30">
        <v>45544</v>
      </c>
      <c r="R19">
        <v>7907</v>
      </c>
      <c r="S19">
        <v>6671</v>
      </c>
      <c r="T19">
        <v>0</v>
      </c>
      <c r="U19">
        <v>12438</v>
      </c>
    </row>
    <row r="20" spans="1:21" x14ac:dyDescent="0.25">
      <c r="A20" s="30">
        <v>45558</v>
      </c>
      <c r="B20">
        <v>14578</v>
      </c>
      <c r="C20">
        <v>0</v>
      </c>
      <c r="D20">
        <v>5517</v>
      </c>
      <c r="E20">
        <v>0</v>
      </c>
      <c r="Q20" s="30">
        <v>45551</v>
      </c>
      <c r="R20">
        <v>0</v>
      </c>
      <c r="S20">
        <v>2382</v>
      </c>
      <c r="T20">
        <v>4292</v>
      </c>
      <c r="U20">
        <v>10331</v>
      </c>
    </row>
    <row r="21" spans="1:21" x14ac:dyDescent="0.25">
      <c r="A21" s="30">
        <v>45565</v>
      </c>
      <c r="B21">
        <v>10637</v>
      </c>
      <c r="C21">
        <v>0</v>
      </c>
      <c r="D21">
        <v>9737</v>
      </c>
      <c r="E21">
        <v>0</v>
      </c>
      <c r="Q21" s="30">
        <v>45558</v>
      </c>
      <c r="R21">
        <v>14578</v>
      </c>
      <c r="S21">
        <v>0</v>
      </c>
      <c r="T21">
        <v>5517</v>
      </c>
      <c r="U21">
        <v>0</v>
      </c>
    </row>
    <row r="22" spans="1:21" x14ac:dyDescent="0.25">
      <c r="A22" s="30">
        <v>45572</v>
      </c>
      <c r="B22">
        <v>5481</v>
      </c>
      <c r="C22">
        <v>2549</v>
      </c>
      <c r="D22">
        <v>0</v>
      </c>
      <c r="E22">
        <v>11856</v>
      </c>
      <c r="Q22" s="30">
        <v>45565</v>
      </c>
      <c r="R22">
        <v>10637</v>
      </c>
      <c r="S22">
        <v>0</v>
      </c>
      <c r="T22">
        <v>9737</v>
      </c>
      <c r="U22">
        <v>0</v>
      </c>
    </row>
    <row r="23" spans="1:21" x14ac:dyDescent="0.25">
      <c r="A23" s="30">
        <v>45579</v>
      </c>
      <c r="B23">
        <v>0</v>
      </c>
      <c r="C23">
        <v>0</v>
      </c>
      <c r="D23">
        <v>18028</v>
      </c>
      <c r="E23">
        <v>7548</v>
      </c>
      <c r="Q23" s="30">
        <v>45572</v>
      </c>
      <c r="R23">
        <v>5481</v>
      </c>
      <c r="S23">
        <v>2549</v>
      </c>
      <c r="T23">
        <v>0</v>
      </c>
      <c r="U23">
        <v>11856</v>
      </c>
    </row>
    <row r="24" spans="1:21" x14ac:dyDescent="0.25">
      <c r="A24" s="30">
        <v>45586</v>
      </c>
      <c r="B24">
        <v>26389</v>
      </c>
      <c r="C24">
        <v>0</v>
      </c>
      <c r="D24">
        <v>0</v>
      </c>
      <c r="E24">
        <v>7793</v>
      </c>
      <c r="Q24" s="30">
        <v>45579</v>
      </c>
      <c r="R24">
        <v>0</v>
      </c>
      <c r="S24">
        <v>0</v>
      </c>
      <c r="T24">
        <v>18028</v>
      </c>
      <c r="U24">
        <v>7548</v>
      </c>
    </row>
    <row r="25" spans="1:21" x14ac:dyDescent="0.25">
      <c r="A25" s="30">
        <v>45593</v>
      </c>
      <c r="B25">
        <v>0</v>
      </c>
      <c r="C25">
        <v>16789</v>
      </c>
      <c r="D25">
        <v>0</v>
      </c>
      <c r="E25">
        <v>13549</v>
      </c>
      <c r="Q25" s="30">
        <v>45586</v>
      </c>
      <c r="R25">
        <v>26389</v>
      </c>
      <c r="S25">
        <v>0</v>
      </c>
      <c r="T25">
        <v>0</v>
      </c>
      <c r="U25">
        <v>7793</v>
      </c>
    </row>
    <row r="26" spans="1:21" x14ac:dyDescent="0.25">
      <c r="A26" s="30">
        <v>45600</v>
      </c>
      <c r="B26">
        <v>0</v>
      </c>
      <c r="C26">
        <v>5268</v>
      </c>
      <c r="D26">
        <v>10051</v>
      </c>
      <c r="E26">
        <v>3385</v>
      </c>
      <c r="Q26" s="30">
        <v>45593</v>
      </c>
      <c r="R26">
        <v>0</v>
      </c>
      <c r="S26">
        <v>16789</v>
      </c>
      <c r="T26">
        <v>0</v>
      </c>
      <c r="U26">
        <v>13549</v>
      </c>
    </row>
    <row r="27" spans="1:21" x14ac:dyDescent="0.25">
      <c r="A27" s="30">
        <v>45607</v>
      </c>
      <c r="B27">
        <v>0</v>
      </c>
      <c r="C27">
        <v>5592</v>
      </c>
      <c r="D27">
        <v>10819</v>
      </c>
      <c r="E27">
        <v>5795</v>
      </c>
      <c r="Q27" s="30">
        <v>45600</v>
      </c>
      <c r="R27">
        <v>0</v>
      </c>
      <c r="S27">
        <v>5268</v>
      </c>
      <c r="T27">
        <v>10051</v>
      </c>
      <c r="U27">
        <v>3385</v>
      </c>
    </row>
    <row r="28" spans="1:21" x14ac:dyDescent="0.25">
      <c r="A28" s="30">
        <v>45614</v>
      </c>
      <c r="B28">
        <v>5798</v>
      </c>
      <c r="C28">
        <v>10242</v>
      </c>
      <c r="D28">
        <v>7036</v>
      </c>
      <c r="E28">
        <v>0</v>
      </c>
      <c r="Q28" s="30">
        <v>45607</v>
      </c>
      <c r="R28">
        <v>0</v>
      </c>
      <c r="S28">
        <v>5592</v>
      </c>
      <c r="T28">
        <v>10819</v>
      </c>
      <c r="U28">
        <v>5795</v>
      </c>
    </row>
    <row r="29" spans="1:21" x14ac:dyDescent="0.25">
      <c r="A29" s="30">
        <v>45621</v>
      </c>
      <c r="B29">
        <v>15788</v>
      </c>
      <c r="C29">
        <v>9737</v>
      </c>
      <c r="D29">
        <v>0</v>
      </c>
      <c r="E29">
        <v>5719</v>
      </c>
      <c r="Q29" s="30">
        <v>45614</v>
      </c>
      <c r="R29">
        <v>5798</v>
      </c>
      <c r="S29">
        <v>10242</v>
      </c>
      <c r="T29">
        <v>7036</v>
      </c>
      <c r="U29">
        <v>0</v>
      </c>
    </row>
    <row r="30" spans="1:21" x14ac:dyDescent="0.25">
      <c r="A30" s="30">
        <v>45628</v>
      </c>
      <c r="B30">
        <v>9987</v>
      </c>
      <c r="C30">
        <v>5839</v>
      </c>
      <c r="D30">
        <v>0</v>
      </c>
      <c r="E30">
        <v>4493</v>
      </c>
      <c r="Q30" s="30">
        <v>45621</v>
      </c>
      <c r="R30">
        <v>15788</v>
      </c>
      <c r="S30">
        <v>9737</v>
      </c>
      <c r="T30">
        <v>0</v>
      </c>
      <c r="U30">
        <v>5719</v>
      </c>
    </row>
    <row r="31" spans="1:21" x14ac:dyDescent="0.25">
      <c r="A31" s="30">
        <v>45635</v>
      </c>
      <c r="B31">
        <v>3672</v>
      </c>
      <c r="C31">
        <v>1016</v>
      </c>
      <c r="D31">
        <v>7164</v>
      </c>
      <c r="E31">
        <v>5200</v>
      </c>
      <c r="Q31" s="30">
        <v>45628</v>
      </c>
      <c r="R31">
        <v>9987</v>
      </c>
      <c r="S31">
        <v>5839</v>
      </c>
      <c r="T31">
        <v>0</v>
      </c>
      <c r="U31">
        <v>4493</v>
      </c>
    </row>
    <row r="32" spans="1:21" x14ac:dyDescent="0.25">
      <c r="A32" s="30">
        <v>45642</v>
      </c>
      <c r="B32">
        <v>5583</v>
      </c>
      <c r="C32">
        <v>9616</v>
      </c>
      <c r="D32">
        <v>7272</v>
      </c>
      <c r="E32">
        <v>0</v>
      </c>
      <c r="Q32" s="30">
        <v>45635</v>
      </c>
      <c r="R32">
        <v>3672</v>
      </c>
      <c r="S32">
        <v>1016</v>
      </c>
      <c r="T32">
        <v>7164</v>
      </c>
      <c r="U32">
        <v>5200</v>
      </c>
    </row>
    <row r="33" spans="1:21" x14ac:dyDescent="0.25">
      <c r="A33" s="30">
        <v>45649</v>
      </c>
      <c r="B33">
        <v>4631</v>
      </c>
      <c r="C33">
        <v>8743</v>
      </c>
      <c r="D33">
        <v>0</v>
      </c>
      <c r="E33">
        <v>8177</v>
      </c>
      <c r="Q33" s="30">
        <v>45642</v>
      </c>
      <c r="R33">
        <v>5583</v>
      </c>
      <c r="S33">
        <v>9616</v>
      </c>
      <c r="T33">
        <v>7272</v>
      </c>
      <c r="U33">
        <v>0</v>
      </c>
    </row>
    <row r="34" spans="1:21" x14ac:dyDescent="0.25">
      <c r="A34" s="30">
        <v>45656</v>
      </c>
      <c r="B34">
        <v>4897</v>
      </c>
      <c r="C34">
        <v>18556</v>
      </c>
      <c r="D34">
        <v>3279</v>
      </c>
      <c r="E34">
        <v>0</v>
      </c>
      <c r="Q34" s="30">
        <v>45649</v>
      </c>
      <c r="R34">
        <v>4631</v>
      </c>
      <c r="S34">
        <v>8743</v>
      </c>
      <c r="T34">
        <v>0</v>
      </c>
      <c r="U34">
        <v>8177</v>
      </c>
    </row>
    <row r="35" spans="1:21" x14ac:dyDescent="0.25">
      <c r="A35" s="30">
        <v>45663</v>
      </c>
      <c r="B35">
        <v>0</v>
      </c>
      <c r="C35">
        <v>9980</v>
      </c>
      <c r="D35">
        <v>10226</v>
      </c>
      <c r="E35">
        <v>9906</v>
      </c>
      <c r="Q35" s="30">
        <v>45656</v>
      </c>
      <c r="R35">
        <v>4897</v>
      </c>
      <c r="S35">
        <v>18556</v>
      </c>
      <c r="T35">
        <v>3279</v>
      </c>
      <c r="U35">
        <v>0</v>
      </c>
    </row>
    <row r="36" spans="1:21" x14ac:dyDescent="0.25">
      <c r="A36" s="30">
        <v>45670</v>
      </c>
      <c r="B36">
        <v>3247</v>
      </c>
      <c r="C36">
        <v>7869</v>
      </c>
      <c r="D36">
        <v>8088</v>
      </c>
      <c r="E36">
        <v>1078</v>
      </c>
      <c r="Q36" s="30">
        <v>45663</v>
      </c>
      <c r="R36">
        <v>0</v>
      </c>
      <c r="S36">
        <v>9980</v>
      </c>
      <c r="T36">
        <v>10226</v>
      </c>
      <c r="U36">
        <v>9906</v>
      </c>
    </row>
    <row r="37" spans="1:21" x14ac:dyDescent="0.25">
      <c r="A37" s="30">
        <v>45677</v>
      </c>
      <c r="B37">
        <v>0</v>
      </c>
      <c r="C37">
        <v>0</v>
      </c>
      <c r="D37">
        <v>22105</v>
      </c>
      <c r="E37">
        <v>8340</v>
      </c>
      <c r="Q37" s="30">
        <v>45670</v>
      </c>
      <c r="R37">
        <v>3247</v>
      </c>
      <c r="S37">
        <v>7869</v>
      </c>
      <c r="T37">
        <v>8088</v>
      </c>
      <c r="U37">
        <v>1078</v>
      </c>
    </row>
    <row r="38" spans="1:21" x14ac:dyDescent="0.25">
      <c r="A38" s="30">
        <v>45684</v>
      </c>
      <c r="B38">
        <v>4271</v>
      </c>
      <c r="C38">
        <v>8083</v>
      </c>
      <c r="D38">
        <v>13170</v>
      </c>
      <c r="E38">
        <v>0</v>
      </c>
      <c r="Q38" s="30">
        <v>45677</v>
      </c>
      <c r="R38">
        <v>0</v>
      </c>
      <c r="S38">
        <v>0</v>
      </c>
      <c r="T38">
        <v>22105</v>
      </c>
      <c r="U38">
        <v>8340</v>
      </c>
    </row>
    <row r="39" spans="1:21" x14ac:dyDescent="0.25">
      <c r="A39" s="30">
        <v>45691</v>
      </c>
      <c r="B39">
        <v>0</v>
      </c>
      <c r="C39">
        <v>0</v>
      </c>
      <c r="D39">
        <v>17438</v>
      </c>
      <c r="E39">
        <v>14055</v>
      </c>
      <c r="Q39" s="30">
        <v>45684</v>
      </c>
      <c r="R39">
        <v>4271</v>
      </c>
      <c r="S39">
        <v>8083</v>
      </c>
      <c r="T39">
        <v>13170</v>
      </c>
      <c r="U39">
        <v>0</v>
      </c>
    </row>
    <row r="40" spans="1:21" x14ac:dyDescent="0.25">
      <c r="A40" s="30">
        <v>45698</v>
      </c>
      <c r="B40">
        <v>0</v>
      </c>
      <c r="C40">
        <v>13799</v>
      </c>
      <c r="D40">
        <v>1147</v>
      </c>
      <c r="E40">
        <v>0</v>
      </c>
      <c r="Q40" s="30">
        <v>45691</v>
      </c>
      <c r="R40">
        <v>0</v>
      </c>
      <c r="S40">
        <v>0</v>
      </c>
      <c r="T40">
        <v>17438</v>
      </c>
      <c r="U40">
        <v>14055</v>
      </c>
    </row>
    <row r="41" spans="1:21" x14ac:dyDescent="0.25">
      <c r="A41" s="30">
        <v>45705</v>
      </c>
      <c r="B41">
        <v>12840</v>
      </c>
      <c r="C41">
        <v>5531</v>
      </c>
      <c r="D41">
        <v>1365</v>
      </c>
      <c r="E41">
        <v>0</v>
      </c>
      <c r="Q41" s="30">
        <v>45698</v>
      </c>
      <c r="R41">
        <v>0</v>
      </c>
      <c r="S41">
        <v>13799</v>
      </c>
      <c r="T41">
        <v>1147</v>
      </c>
      <c r="U41">
        <v>0</v>
      </c>
    </row>
    <row r="42" spans="1:21" x14ac:dyDescent="0.25">
      <c r="A42" s="30">
        <v>45712</v>
      </c>
      <c r="B42">
        <v>16193</v>
      </c>
      <c r="C42">
        <v>0</v>
      </c>
      <c r="D42">
        <v>0</v>
      </c>
      <c r="E42">
        <v>17457</v>
      </c>
      <c r="Q42" s="30">
        <v>45705</v>
      </c>
      <c r="R42">
        <v>12840</v>
      </c>
      <c r="S42">
        <v>5531</v>
      </c>
      <c r="T42">
        <v>1365</v>
      </c>
      <c r="U42">
        <v>0</v>
      </c>
    </row>
    <row r="43" spans="1:21" x14ac:dyDescent="0.25">
      <c r="A43" s="30">
        <v>45719</v>
      </c>
      <c r="B43">
        <v>0</v>
      </c>
      <c r="C43">
        <v>8504</v>
      </c>
      <c r="D43">
        <v>7085</v>
      </c>
      <c r="E43">
        <v>7511</v>
      </c>
      <c r="Q43" s="30">
        <v>45712</v>
      </c>
      <c r="R43">
        <v>16193</v>
      </c>
      <c r="S43">
        <v>0</v>
      </c>
      <c r="T43">
        <v>0</v>
      </c>
      <c r="U43">
        <v>17457</v>
      </c>
    </row>
    <row r="44" spans="1:21" x14ac:dyDescent="0.25">
      <c r="A44" s="30">
        <v>45726</v>
      </c>
      <c r="B44">
        <v>3376</v>
      </c>
      <c r="C44">
        <v>2827</v>
      </c>
      <c r="D44">
        <v>9551</v>
      </c>
      <c r="E44">
        <v>4009</v>
      </c>
      <c r="Q44" s="30">
        <v>45719</v>
      </c>
      <c r="R44">
        <v>0</v>
      </c>
      <c r="S44">
        <v>8504</v>
      </c>
      <c r="T44">
        <v>7085</v>
      </c>
      <c r="U44">
        <v>7511</v>
      </c>
    </row>
    <row r="45" spans="1:21" x14ac:dyDescent="0.25">
      <c r="A45" s="30">
        <v>45733</v>
      </c>
      <c r="B45">
        <v>9569</v>
      </c>
      <c r="C45">
        <v>21174</v>
      </c>
      <c r="D45">
        <v>0</v>
      </c>
      <c r="E45">
        <v>0</v>
      </c>
      <c r="Q45" s="30">
        <v>45726</v>
      </c>
      <c r="R45">
        <v>3376</v>
      </c>
      <c r="S45">
        <v>2827</v>
      </c>
      <c r="T45">
        <v>9551</v>
      </c>
      <c r="U45">
        <v>4009</v>
      </c>
    </row>
    <row r="46" spans="1:21" x14ac:dyDescent="0.25">
      <c r="A46" s="30">
        <v>45740</v>
      </c>
      <c r="B46">
        <v>0</v>
      </c>
      <c r="C46">
        <v>22600</v>
      </c>
      <c r="D46">
        <v>0</v>
      </c>
      <c r="E46">
        <v>4747</v>
      </c>
      <c r="Q46" s="30">
        <v>45733</v>
      </c>
      <c r="R46">
        <v>9569</v>
      </c>
      <c r="S46">
        <v>21174</v>
      </c>
      <c r="T46">
        <v>0</v>
      </c>
      <c r="U46">
        <v>0</v>
      </c>
    </row>
    <row r="47" spans="1:21" x14ac:dyDescent="0.25">
      <c r="A47" s="30">
        <v>45747</v>
      </c>
      <c r="B47">
        <v>6607</v>
      </c>
      <c r="C47">
        <v>1780</v>
      </c>
      <c r="D47">
        <v>6978</v>
      </c>
      <c r="E47">
        <v>1769</v>
      </c>
      <c r="Q47" s="30">
        <v>45740</v>
      </c>
      <c r="R47">
        <v>0</v>
      </c>
      <c r="S47">
        <v>22600</v>
      </c>
      <c r="T47">
        <v>0</v>
      </c>
      <c r="U47">
        <v>4747</v>
      </c>
    </row>
    <row r="48" spans="1:21" x14ac:dyDescent="0.25">
      <c r="A48" s="30">
        <v>45754</v>
      </c>
      <c r="B48">
        <v>1521</v>
      </c>
      <c r="C48">
        <v>4983</v>
      </c>
      <c r="D48">
        <v>9714</v>
      </c>
      <c r="E48">
        <v>7303</v>
      </c>
      <c r="Q48" s="30">
        <v>45747</v>
      </c>
      <c r="R48">
        <v>6607</v>
      </c>
      <c r="S48">
        <v>1780</v>
      </c>
      <c r="T48">
        <v>6978</v>
      </c>
      <c r="U48">
        <v>1769</v>
      </c>
    </row>
    <row r="49" spans="1:21" x14ac:dyDescent="0.25">
      <c r="A49" s="30">
        <v>45761</v>
      </c>
      <c r="B49">
        <v>0</v>
      </c>
      <c r="C49">
        <v>27882</v>
      </c>
      <c r="D49">
        <v>0</v>
      </c>
      <c r="E49">
        <v>0</v>
      </c>
      <c r="Q49" s="30">
        <v>45754</v>
      </c>
      <c r="R49">
        <v>1521</v>
      </c>
      <c r="S49">
        <v>4983</v>
      </c>
      <c r="T49">
        <v>9714</v>
      </c>
      <c r="U49">
        <v>7303</v>
      </c>
    </row>
    <row r="50" spans="1:21" x14ac:dyDescent="0.25">
      <c r="A50" s="30">
        <v>45768</v>
      </c>
      <c r="B50">
        <v>16669</v>
      </c>
      <c r="C50">
        <v>0</v>
      </c>
      <c r="D50">
        <v>8128</v>
      </c>
      <c r="E50">
        <v>0</v>
      </c>
      <c r="Q50" s="30">
        <v>45761</v>
      </c>
      <c r="R50">
        <v>0</v>
      </c>
      <c r="S50">
        <v>27882</v>
      </c>
      <c r="T50">
        <v>0</v>
      </c>
      <c r="U50">
        <v>0</v>
      </c>
    </row>
    <row r="51" spans="1:21" x14ac:dyDescent="0.25">
      <c r="A51" s="30">
        <v>45775</v>
      </c>
      <c r="B51">
        <v>0</v>
      </c>
      <c r="C51">
        <v>1685</v>
      </c>
      <c r="D51">
        <v>17532</v>
      </c>
      <c r="E51">
        <v>0</v>
      </c>
      <c r="Q51" s="30">
        <v>45768</v>
      </c>
      <c r="R51">
        <v>16669</v>
      </c>
      <c r="S51">
        <v>0</v>
      </c>
      <c r="T51">
        <v>8128</v>
      </c>
      <c r="U51">
        <v>0</v>
      </c>
    </row>
    <row r="52" spans="1:21" x14ac:dyDescent="0.25">
      <c r="A52" s="30">
        <v>45782</v>
      </c>
      <c r="B52">
        <v>8697</v>
      </c>
      <c r="C52">
        <v>3294</v>
      </c>
      <c r="D52">
        <v>0</v>
      </c>
      <c r="E52">
        <v>5875</v>
      </c>
      <c r="Q52" s="30">
        <v>45775</v>
      </c>
      <c r="R52">
        <v>0</v>
      </c>
      <c r="S52">
        <v>1685</v>
      </c>
      <c r="T52">
        <v>17532</v>
      </c>
      <c r="U52">
        <v>0</v>
      </c>
    </row>
    <row r="53" spans="1:21" x14ac:dyDescent="0.25">
      <c r="A53" s="30">
        <v>45789</v>
      </c>
      <c r="B53">
        <v>3196</v>
      </c>
      <c r="C53">
        <v>9466</v>
      </c>
      <c r="D53">
        <v>8527</v>
      </c>
      <c r="E53">
        <v>0</v>
      </c>
      <c r="Q53" s="30">
        <v>45782</v>
      </c>
      <c r="R53">
        <v>8697</v>
      </c>
      <c r="S53">
        <v>3294</v>
      </c>
      <c r="T53">
        <v>0</v>
      </c>
      <c r="U53">
        <v>5875</v>
      </c>
    </row>
    <row r="54" spans="1:21" x14ac:dyDescent="0.25">
      <c r="Q54" s="30">
        <v>45789</v>
      </c>
      <c r="R54">
        <v>3196</v>
      </c>
      <c r="S54">
        <v>9466</v>
      </c>
      <c r="T54">
        <v>8527</v>
      </c>
      <c r="U54">
        <v>0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E03B-9DBD-4458-8568-3C0850109B72}">
  <dimension ref="A1:K2"/>
  <sheetViews>
    <sheetView tabSelected="1" workbookViewId="0">
      <selection activeCell="B2" sqref="B2:K2"/>
    </sheetView>
  </sheetViews>
  <sheetFormatPr defaultRowHeight="15" x14ac:dyDescent="0.25"/>
  <cols>
    <col min="1" max="1" width="16.28515625" customWidth="1"/>
  </cols>
  <sheetData>
    <row r="1" spans="1:11" x14ac:dyDescent="0.25">
      <c r="A1" s="31" t="s">
        <v>574</v>
      </c>
    </row>
    <row r="2" spans="1:11" x14ac:dyDescent="0.25">
      <c r="B2" s="32" t="s">
        <v>573</v>
      </c>
      <c r="C2" s="33"/>
      <c r="D2" s="33"/>
      <c r="E2" s="33"/>
      <c r="F2" s="33"/>
      <c r="G2" s="33"/>
      <c r="H2" s="33"/>
      <c r="I2" s="33"/>
      <c r="J2" s="33"/>
      <c r="K2" s="33"/>
    </row>
  </sheetData>
  <mergeCells count="1">
    <mergeCell ref="B2:K2"/>
  </mergeCells>
  <hyperlinks>
    <hyperlink ref="B2" r:id="rId1" xr:uid="{6DCEDF9D-0CBF-4C49-8727-10BDBCFD05C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74F2EC-B695-467E-A84B-2888E378B3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Raw_post</vt:lpstr>
      <vt:lpstr>Engagement Summary </vt:lpstr>
      <vt:lpstr>Campaign Metadata </vt:lpstr>
      <vt:lpstr>Task1</vt:lpstr>
      <vt:lpstr>Task2</vt:lpstr>
      <vt:lpstr>Task3_Platform_Analysis</vt:lpstr>
      <vt:lpstr>Task4_Content_Hashtag_analysis</vt:lpstr>
      <vt:lpstr>Task5_Campaign_Analysis</vt:lpstr>
      <vt:lpstr>Task6_ Follower_Retention_Loyal</vt:lpstr>
      <vt:lpstr>Video explanation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PAUL</cp:lastModifiedBy>
  <dcterms:modified xsi:type="dcterms:W3CDTF">2026-05-05T14:45:38Z</dcterms:modified>
</cp:coreProperties>
</file>